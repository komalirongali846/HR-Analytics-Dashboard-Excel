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C:\Users\HP\Downloads\"/>
    </mc:Choice>
  </mc:AlternateContent>
  <xr:revisionPtr revIDLastSave="0" documentId="13_ncr:1_{1335B136-06A4-4066-8400-B77B8249811E}" xr6:coauthVersionLast="47" xr6:coauthVersionMax="47" xr10:uidLastSave="{00000000-0000-0000-0000-000000000000}"/>
  <bookViews>
    <workbookView xWindow="-120" yWindow="-120" windowWidth="20640" windowHeight="11040" activeTab="2" xr2:uid="{00000000-000D-0000-FFFF-FFFF00000000}"/>
  </bookViews>
  <sheets>
    <sheet name="HR_Data" sheetId="1" r:id="rId1"/>
    <sheet name="KPI" sheetId="2" r:id="rId2"/>
    <sheet name="HR Analytics Dashboard" sheetId="5" r:id="rId3"/>
    <sheet name="Pivots" sheetId="4" r:id="rId4"/>
  </sheets>
  <definedNames>
    <definedName name="_xlcn.WorksheetConnection_HR_Analytics_Dataset.xlsxTable11" hidden="1">Table1[]</definedName>
    <definedName name="Slicer_Attrition">#N/A</definedName>
    <definedName name="Slicer_Department">#N/A</definedName>
    <definedName name="Slicer_Gender">#N/A</definedName>
  </definedNames>
  <calcPr calcId="181029"/>
  <pivotCaches>
    <pivotCache cacheId="7" r:id="rId5"/>
    <pivotCache cacheId="13"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HR_Analytics_Dataset.xlsx!Table1"/>
        </x15:modelTables>
      </x15:dataModel>
    </ext>
  </extLst>
</workbook>
</file>

<file path=xl/calcChain.xml><?xml version="1.0" encoding="utf-8"?>
<calcChain xmlns="http://schemas.openxmlformats.org/spreadsheetml/2006/main">
  <c r="B8" i="2" l="1"/>
  <c r="B9" i="2"/>
  <c r="B7" i="2"/>
  <c r="B6" i="2"/>
  <c r="B5" i="2"/>
  <c r="B4" i="2"/>
  <c r="B3" i="2"/>
  <c r="J1001" i="1"/>
  <c r="J1000" i="1"/>
  <c r="J999" i="1"/>
  <c r="J998" i="1"/>
  <c r="J997" i="1"/>
  <c r="J996" i="1"/>
  <c r="J995" i="1"/>
  <c r="J994" i="1"/>
  <c r="J993" i="1"/>
  <c r="J992" i="1"/>
  <c r="J991" i="1"/>
  <c r="J990" i="1"/>
  <c r="J989" i="1"/>
  <c r="J988" i="1"/>
  <c r="J987" i="1"/>
  <c r="J986" i="1"/>
  <c r="J985" i="1"/>
  <c r="J984" i="1"/>
  <c r="J983" i="1"/>
  <c r="J982" i="1"/>
  <c r="J981" i="1"/>
  <c r="J980" i="1"/>
  <c r="J979" i="1"/>
  <c r="J978" i="1"/>
  <c r="J977" i="1"/>
  <c r="J976" i="1"/>
  <c r="J975" i="1"/>
  <c r="J974" i="1"/>
  <c r="J973" i="1"/>
  <c r="J972" i="1"/>
  <c r="J971" i="1"/>
  <c r="J970" i="1"/>
  <c r="J969" i="1"/>
  <c r="J968" i="1"/>
  <c r="J967" i="1"/>
  <c r="J966" i="1"/>
  <c r="J965" i="1"/>
  <c r="J964" i="1"/>
  <c r="J963" i="1"/>
  <c r="J962" i="1"/>
  <c r="J961" i="1"/>
  <c r="J960" i="1"/>
  <c r="J959" i="1"/>
  <c r="J958" i="1"/>
  <c r="J957" i="1"/>
  <c r="J956" i="1"/>
  <c r="J955" i="1"/>
  <c r="J954" i="1"/>
  <c r="J953" i="1"/>
  <c r="J952" i="1"/>
  <c r="J951" i="1"/>
  <c r="J950" i="1"/>
  <c r="J949" i="1"/>
  <c r="J948" i="1"/>
  <c r="J947" i="1"/>
  <c r="J946" i="1"/>
  <c r="J945" i="1"/>
  <c r="J944" i="1"/>
  <c r="J943" i="1"/>
  <c r="J942" i="1"/>
  <c r="J941" i="1"/>
  <c r="J940" i="1"/>
  <c r="J939" i="1"/>
  <c r="J938" i="1"/>
  <c r="J937" i="1"/>
  <c r="J936" i="1"/>
  <c r="J935" i="1"/>
  <c r="J934" i="1"/>
  <c r="J933" i="1"/>
  <c r="J932" i="1"/>
  <c r="J931" i="1"/>
  <c r="J930" i="1"/>
  <c r="J929" i="1"/>
  <c r="J928" i="1"/>
  <c r="J927" i="1"/>
  <c r="J926" i="1"/>
  <c r="J925" i="1"/>
  <c r="J924" i="1"/>
  <c r="J923" i="1"/>
  <c r="J922" i="1"/>
  <c r="J921" i="1"/>
  <c r="J920" i="1"/>
  <c r="J919" i="1"/>
  <c r="J918" i="1"/>
  <c r="J917" i="1"/>
  <c r="J916" i="1"/>
  <c r="J915" i="1"/>
  <c r="J914" i="1"/>
  <c r="J913" i="1"/>
  <c r="J912" i="1"/>
  <c r="J911" i="1"/>
  <c r="J910" i="1"/>
  <c r="J909" i="1"/>
  <c r="J908" i="1"/>
  <c r="J907" i="1"/>
  <c r="J906" i="1"/>
  <c r="J905" i="1"/>
  <c r="J904" i="1"/>
  <c r="J903" i="1"/>
  <c r="J902" i="1"/>
  <c r="J901" i="1"/>
  <c r="J900" i="1"/>
  <c r="J899" i="1"/>
  <c r="J898" i="1"/>
  <c r="J897" i="1"/>
  <c r="J896" i="1"/>
  <c r="J895" i="1"/>
  <c r="J894" i="1"/>
  <c r="J893" i="1"/>
  <c r="J892" i="1"/>
  <c r="J891" i="1"/>
  <c r="J890" i="1"/>
  <c r="J889" i="1"/>
  <c r="J888" i="1"/>
  <c r="J887" i="1"/>
  <c r="J886" i="1"/>
  <c r="J885" i="1"/>
  <c r="J884" i="1"/>
  <c r="J883" i="1"/>
  <c r="J882" i="1"/>
  <c r="J881" i="1"/>
  <c r="J880" i="1"/>
  <c r="J879" i="1"/>
  <c r="J878" i="1"/>
  <c r="J877" i="1"/>
  <c r="J876" i="1"/>
  <c r="J875" i="1"/>
  <c r="J874" i="1"/>
  <c r="J873" i="1"/>
  <c r="J872" i="1"/>
  <c r="J871" i="1"/>
  <c r="J870" i="1"/>
  <c r="J869" i="1"/>
  <c r="J868" i="1"/>
  <c r="J867" i="1"/>
  <c r="J866" i="1"/>
  <c r="J865" i="1"/>
  <c r="J864" i="1"/>
  <c r="J863" i="1"/>
  <c r="J862" i="1"/>
  <c r="J861" i="1"/>
  <c r="J860" i="1"/>
  <c r="J859" i="1"/>
  <c r="J858" i="1"/>
  <c r="J857" i="1"/>
  <c r="J856" i="1"/>
  <c r="J855" i="1"/>
  <c r="J854" i="1"/>
  <c r="J853" i="1"/>
  <c r="J852" i="1"/>
  <c r="J851" i="1"/>
  <c r="J850" i="1"/>
  <c r="J849" i="1"/>
  <c r="J848" i="1"/>
  <c r="J847" i="1"/>
  <c r="J846" i="1"/>
  <c r="J845" i="1"/>
  <c r="J844" i="1"/>
  <c r="J843" i="1"/>
  <c r="J842" i="1"/>
  <c r="J841" i="1"/>
  <c r="J840" i="1"/>
  <c r="J839" i="1"/>
  <c r="J838" i="1"/>
  <c r="J837" i="1"/>
  <c r="J836" i="1"/>
  <c r="J835" i="1"/>
  <c r="J834" i="1"/>
  <c r="J833" i="1"/>
  <c r="J832" i="1"/>
  <c r="J831" i="1"/>
  <c r="J830" i="1"/>
  <c r="J829" i="1"/>
  <c r="J828" i="1"/>
  <c r="J827" i="1"/>
  <c r="J826" i="1"/>
  <c r="J825" i="1"/>
  <c r="J824" i="1"/>
  <c r="J823" i="1"/>
  <c r="J822" i="1"/>
  <c r="J821" i="1"/>
  <c r="J820" i="1"/>
  <c r="J819" i="1"/>
  <c r="J818" i="1"/>
  <c r="J817" i="1"/>
  <c r="J816" i="1"/>
  <c r="J815" i="1"/>
  <c r="J814" i="1"/>
  <c r="J813" i="1"/>
  <c r="J812" i="1"/>
  <c r="J811" i="1"/>
  <c r="J810" i="1"/>
  <c r="J809" i="1"/>
  <c r="J808" i="1"/>
  <c r="J807" i="1"/>
  <c r="J806" i="1"/>
  <c r="J805" i="1"/>
  <c r="J804" i="1"/>
  <c r="J803" i="1"/>
  <c r="J802" i="1"/>
  <c r="J801" i="1"/>
  <c r="J800" i="1"/>
  <c r="J799" i="1"/>
  <c r="J798" i="1"/>
  <c r="J797" i="1"/>
  <c r="J796" i="1"/>
  <c r="J795" i="1"/>
  <c r="J794" i="1"/>
  <c r="J793" i="1"/>
  <c r="J792" i="1"/>
  <c r="J791" i="1"/>
  <c r="J790" i="1"/>
  <c r="J789" i="1"/>
  <c r="J788" i="1"/>
  <c r="J787" i="1"/>
  <c r="J786" i="1"/>
  <c r="J785" i="1"/>
  <c r="J784" i="1"/>
  <c r="J783" i="1"/>
  <c r="J782" i="1"/>
  <c r="J781" i="1"/>
  <c r="J780" i="1"/>
  <c r="J779" i="1"/>
  <c r="J778" i="1"/>
  <c r="J777" i="1"/>
  <c r="J776" i="1"/>
  <c r="J775" i="1"/>
  <c r="J774" i="1"/>
  <c r="J773" i="1"/>
  <c r="J772" i="1"/>
  <c r="J771" i="1"/>
  <c r="J770" i="1"/>
  <c r="J769" i="1"/>
  <c r="J768" i="1"/>
  <c r="J767" i="1"/>
  <c r="J766" i="1"/>
  <c r="J765" i="1"/>
  <c r="J764" i="1"/>
  <c r="J763" i="1"/>
  <c r="J762" i="1"/>
  <c r="J761" i="1"/>
  <c r="J760" i="1"/>
  <c r="J759" i="1"/>
  <c r="J758" i="1"/>
  <c r="J757" i="1"/>
  <c r="J756" i="1"/>
  <c r="J755" i="1"/>
  <c r="J754" i="1"/>
  <c r="J753" i="1"/>
  <c r="J752" i="1"/>
  <c r="J751" i="1"/>
  <c r="J750" i="1"/>
  <c r="J749" i="1"/>
  <c r="J748" i="1"/>
  <c r="J747" i="1"/>
  <c r="J746" i="1"/>
  <c r="J745" i="1"/>
  <c r="J744" i="1"/>
  <c r="J743" i="1"/>
  <c r="J742" i="1"/>
  <c r="J741" i="1"/>
  <c r="J740" i="1"/>
  <c r="J739" i="1"/>
  <c r="J738" i="1"/>
  <c r="J737" i="1"/>
  <c r="J736" i="1"/>
  <c r="J735" i="1"/>
  <c r="J734" i="1"/>
  <c r="J733" i="1"/>
  <c r="J732" i="1"/>
  <c r="J731" i="1"/>
  <c r="J730" i="1"/>
  <c r="J729" i="1"/>
  <c r="J728" i="1"/>
  <c r="J727" i="1"/>
  <c r="J726" i="1"/>
  <c r="J725" i="1"/>
  <c r="J724" i="1"/>
  <c r="J723" i="1"/>
  <c r="J722" i="1"/>
  <c r="J721" i="1"/>
  <c r="J720" i="1"/>
  <c r="J719" i="1"/>
  <c r="J718" i="1"/>
  <c r="J717" i="1"/>
  <c r="J716" i="1"/>
  <c r="J715" i="1"/>
  <c r="J714" i="1"/>
  <c r="J713" i="1"/>
  <c r="J712" i="1"/>
  <c r="J711" i="1"/>
  <c r="J710" i="1"/>
  <c r="J709" i="1"/>
  <c r="J708" i="1"/>
  <c r="J707" i="1"/>
  <c r="J706" i="1"/>
  <c r="J705" i="1"/>
  <c r="J704" i="1"/>
  <c r="J703" i="1"/>
  <c r="J702" i="1"/>
  <c r="J701" i="1"/>
  <c r="J700" i="1"/>
  <c r="J699" i="1"/>
  <c r="J698" i="1"/>
  <c r="J697" i="1"/>
  <c r="J696" i="1"/>
  <c r="J695" i="1"/>
  <c r="J694" i="1"/>
  <c r="J693" i="1"/>
  <c r="J692" i="1"/>
  <c r="J691" i="1"/>
  <c r="J690" i="1"/>
  <c r="J689" i="1"/>
  <c r="J688" i="1"/>
  <c r="J687" i="1"/>
  <c r="J686" i="1"/>
  <c r="J685" i="1"/>
  <c r="J684" i="1"/>
  <c r="J683" i="1"/>
  <c r="J682" i="1"/>
  <c r="J681" i="1"/>
  <c r="J680" i="1"/>
  <c r="J679" i="1"/>
  <c r="J678" i="1"/>
  <c r="J677" i="1"/>
  <c r="J676" i="1"/>
  <c r="J675" i="1"/>
  <c r="J674" i="1"/>
  <c r="J673" i="1"/>
  <c r="J672" i="1"/>
  <c r="J671" i="1"/>
  <c r="J670" i="1"/>
  <c r="J669" i="1"/>
  <c r="J668" i="1"/>
  <c r="J667" i="1"/>
  <c r="J666" i="1"/>
  <c r="J665" i="1"/>
  <c r="J664" i="1"/>
  <c r="J663" i="1"/>
  <c r="J662" i="1"/>
  <c r="J661" i="1"/>
  <c r="J660" i="1"/>
  <c r="J659" i="1"/>
  <c r="J658" i="1"/>
  <c r="J657" i="1"/>
  <c r="J656" i="1"/>
  <c r="J655" i="1"/>
  <c r="J654" i="1"/>
  <c r="J653" i="1"/>
  <c r="J652" i="1"/>
  <c r="J651" i="1"/>
  <c r="J650" i="1"/>
  <c r="J649" i="1"/>
  <c r="J648" i="1"/>
  <c r="J647" i="1"/>
  <c r="J646" i="1"/>
  <c r="J645" i="1"/>
  <c r="J644" i="1"/>
  <c r="J643" i="1"/>
  <c r="J642" i="1"/>
  <c r="J641" i="1"/>
  <c r="J640" i="1"/>
  <c r="J639" i="1"/>
  <c r="J638" i="1"/>
  <c r="J637" i="1"/>
  <c r="J636" i="1"/>
  <c r="J635" i="1"/>
  <c r="J634" i="1"/>
  <c r="J633" i="1"/>
  <c r="J632" i="1"/>
  <c r="J631" i="1"/>
  <c r="J630" i="1"/>
  <c r="J629" i="1"/>
  <c r="J628" i="1"/>
  <c r="J627" i="1"/>
  <c r="J626" i="1"/>
  <c r="J625" i="1"/>
  <c r="J624" i="1"/>
  <c r="J623" i="1"/>
  <c r="J622" i="1"/>
  <c r="J621" i="1"/>
  <c r="J620" i="1"/>
  <c r="J619" i="1"/>
  <c r="J618" i="1"/>
  <c r="J617" i="1"/>
  <c r="J616" i="1"/>
  <c r="J615" i="1"/>
  <c r="J614" i="1"/>
  <c r="J613" i="1"/>
  <c r="J612" i="1"/>
  <c r="J611" i="1"/>
  <c r="J610" i="1"/>
  <c r="J609" i="1"/>
  <c r="J608" i="1"/>
  <c r="J607" i="1"/>
  <c r="J606" i="1"/>
  <c r="J605" i="1"/>
  <c r="J604" i="1"/>
  <c r="J603" i="1"/>
  <c r="J602" i="1"/>
  <c r="J601" i="1"/>
  <c r="J600" i="1"/>
  <c r="J599" i="1"/>
  <c r="J598" i="1"/>
  <c r="J597" i="1"/>
  <c r="J596" i="1"/>
  <c r="J595" i="1"/>
  <c r="J594" i="1"/>
  <c r="J593" i="1"/>
  <c r="J592" i="1"/>
  <c r="J591" i="1"/>
  <c r="J590" i="1"/>
  <c r="J589" i="1"/>
  <c r="J588" i="1"/>
  <c r="J587" i="1"/>
  <c r="J586" i="1"/>
  <c r="J585" i="1"/>
  <c r="J584" i="1"/>
  <c r="J583" i="1"/>
  <c r="J582" i="1"/>
  <c r="J581" i="1"/>
  <c r="J580" i="1"/>
  <c r="J579" i="1"/>
  <c r="J578" i="1"/>
  <c r="J577" i="1"/>
  <c r="J576" i="1"/>
  <c r="J575" i="1"/>
  <c r="J574" i="1"/>
  <c r="J573" i="1"/>
  <c r="J572" i="1"/>
  <c r="J571" i="1"/>
  <c r="J570" i="1"/>
  <c r="J569" i="1"/>
  <c r="J568" i="1"/>
  <c r="J567" i="1"/>
  <c r="J566" i="1"/>
  <c r="J565" i="1"/>
  <c r="J564" i="1"/>
  <c r="J563" i="1"/>
  <c r="J562" i="1"/>
  <c r="J561" i="1"/>
  <c r="J560" i="1"/>
  <c r="J559" i="1"/>
  <c r="J558" i="1"/>
  <c r="J557" i="1"/>
  <c r="J556" i="1"/>
  <c r="J555" i="1"/>
  <c r="J554" i="1"/>
  <c r="J553" i="1"/>
  <c r="J552" i="1"/>
  <c r="J551" i="1"/>
  <c r="J550" i="1"/>
  <c r="J549" i="1"/>
  <c r="J548" i="1"/>
  <c r="J547" i="1"/>
  <c r="J546" i="1"/>
  <c r="J545" i="1"/>
  <c r="J544" i="1"/>
  <c r="J543" i="1"/>
  <c r="J542" i="1"/>
  <c r="J541" i="1"/>
  <c r="J540" i="1"/>
  <c r="J539" i="1"/>
  <c r="J538" i="1"/>
  <c r="J537" i="1"/>
  <c r="J536" i="1"/>
  <c r="J535" i="1"/>
  <c r="J534" i="1"/>
  <c r="J533" i="1"/>
  <c r="J532" i="1"/>
  <c r="J531" i="1"/>
  <c r="J530" i="1"/>
  <c r="J529" i="1"/>
  <c r="J528" i="1"/>
  <c r="J527" i="1"/>
  <c r="J526" i="1"/>
  <c r="J525" i="1"/>
  <c r="J524" i="1"/>
  <c r="J523" i="1"/>
  <c r="J522" i="1"/>
  <c r="J521" i="1"/>
  <c r="J520" i="1"/>
  <c r="J519" i="1"/>
  <c r="J518" i="1"/>
  <c r="J517" i="1"/>
  <c r="J516" i="1"/>
  <c r="J515" i="1"/>
  <c r="J514" i="1"/>
  <c r="J513" i="1"/>
  <c r="J512" i="1"/>
  <c r="J511" i="1"/>
  <c r="J510" i="1"/>
  <c r="J509" i="1"/>
  <c r="J508" i="1"/>
  <c r="J507" i="1"/>
  <c r="J506" i="1"/>
  <c r="J505" i="1"/>
  <c r="J504" i="1"/>
  <c r="J503" i="1"/>
  <c r="J502" i="1"/>
  <c r="J501" i="1"/>
  <c r="J500" i="1"/>
  <c r="J499" i="1"/>
  <c r="J498" i="1"/>
  <c r="J497" i="1"/>
  <c r="J496" i="1"/>
  <c r="J495" i="1"/>
  <c r="J494" i="1"/>
  <c r="J493" i="1"/>
  <c r="J492" i="1"/>
  <c r="J491" i="1"/>
  <c r="J490" i="1"/>
  <c r="J489" i="1"/>
  <c r="J488" i="1"/>
  <c r="J487" i="1"/>
  <c r="J486" i="1"/>
  <c r="J485" i="1"/>
  <c r="J484" i="1"/>
  <c r="J483" i="1"/>
  <c r="J482" i="1"/>
  <c r="J481" i="1"/>
  <c r="J480" i="1"/>
  <c r="J479" i="1"/>
  <c r="J478" i="1"/>
  <c r="J477" i="1"/>
  <c r="J476" i="1"/>
  <c r="J475" i="1"/>
  <c r="J474" i="1"/>
  <c r="J473" i="1"/>
  <c r="J472" i="1"/>
  <c r="J471" i="1"/>
  <c r="J470" i="1"/>
  <c r="J469" i="1"/>
  <c r="J468" i="1"/>
  <c r="J467" i="1"/>
  <c r="J466" i="1"/>
  <c r="J465" i="1"/>
  <c r="J464" i="1"/>
  <c r="J463" i="1"/>
  <c r="J462" i="1"/>
  <c r="J461" i="1"/>
  <c r="J460" i="1"/>
  <c r="J459" i="1"/>
  <c r="J458" i="1"/>
  <c r="J457" i="1"/>
  <c r="J456" i="1"/>
  <c r="J455" i="1"/>
  <c r="J454" i="1"/>
  <c r="J453" i="1"/>
  <c r="J452" i="1"/>
  <c r="J451" i="1"/>
  <c r="J450" i="1"/>
  <c r="J449" i="1"/>
  <c r="J448" i="1"/>
  <c r="J447" i="1"/>
  <c r="J446" i="1"/>
  <c r="J445" i="1"/>
  <c r="J444" i="1"/>
  <c r="J443" i="1"/>
  <c r="J442" i="1"/>
  <c r="J441" i="1"/>
  <c r="J440" i="1"/>
  <c r="J439" i="1"/>
  <c r="J438" i="1"/>
  <c r="J437" i="1"/>
  <c r="J436" i="1"/>
  <c r="J435" i="1"/>
  <c r="J434" i="1"/>
  <c r="J433" i="1"/>
  <c r="J432" i="1"/>
  <c r="J431" i="1"/>
  <c r="J430" i="1"/>
  <c r="J429" i="1"/>
  <c r="J428" i="1"/>
  <c r="J427" i="1"/>
  <c r="J426" i="1"/>
  <c r="J425" i="1"/>
  <c r="J424" i="1"/>
  <c r="J423" i="1"/>
  <c r="J422" i="1"/>
  <c r="J421" i="1"/>
  <c r="J420" i="1"/>
  <c r="J419" i="1"/>
  <c r="J418" i="1"/>
  <c r="J417" i="1"/>
  <c r="J416" i="1"/>
  <c r="J415" i="1"/>
  <c r="J414" i="1"/>
  <c r="J413" i="1"/>
  <c r="J412" i="1"/>
  <c r="J411" i="1"/>
  <c r="J410" i="1"/>
  <c r="J409" i="1"/>
  <c r="J408" i="1"/>
  <c r="J407" i="1"/>
  <c r="J406" i="1"/>
  <c r="J405" i="1"/>
  <c r="J404" i="1"/>
  <c r="J403" i="1"/>
  <c r="J402" i="1"/>
  <c r="J401" i="1"/>
  <c r="J400" i="1"/>
  <c r="J399" i="1"/>
  <c r="J398" i="1"/>
  <c r="J397" i="1"/>
  <c r="J396" i="1"/>
  <c r="J395" i="1"/>
  <c r="J394" i="1"/>
  <c r="J393" i="1"/>
  <c r="J392" i="1"/>
  <c r="J391" i="1"/>
  <c r="J390" i="1"/>
  <c r="J389" i="1"/>
  <c r="J388" i="1"/>
  <c r="J387" i="1"/>
  <c r="J386" i="1"/>
  <c r="J385" i="1"/>
  <c r="J384" i="1"/>
  <c r="J383" i="1"/>
  <c r="J382" i="1"/>
  <c r="J381" i="1"/>
  <c r="J380" i="1"/>
  <c r="J379" i="1"/>
  <c r="J378" i="1"/>
  <c r="J377" i="1"/>
  <c r="J376" i="1"/>
  <c r="J375" i="1"/>
  <c r="J374" i="1"/>
  <c r="J373" i="1"/>
  <c r="J372" i="1"/>
  <c r="J371" i="1"/>
  <c r="J370" i="1"/>
  <c r="J369" i="1"/>
  <c r="J368" i="1"/>
  <c r="J367" i="1"/>
  <c r="J366" i="1"/>
  <c r="J365" i="1"/>
  <c r="J364" i="1"/>
  <c r="J363" i="1"/>
  <c r="J362" i="1"/>
  <c r="J361" i="1"/>
  <c r="J360" i="1"/>
  <c r="J359" i="1"/>
  <c r="J358" i="1"/>
  <c r="J357" i="1"/>
  <c r="J356" i="1"/>
  <c r="J355" i="1"/>
  <c r="J354" i="1"/>
  <c r="J353" i="1"/>
  <c r="J352" i="1"/>
  <c r="J351" i="1"/>
  <c r="J350" i="1"/>
  <c r="J349" i="1"/>
  <c r="J348" i="1"/>
  <c r="J347" i="1"/>
  <c r="J346" i="1"/>
  <c r="J345" i="1"/>
  <c r="J344" i="1"/>
  <c r="J343" i="1"/>
  <c r="J342" i="1"/>
  <c r="J341" i="1"/>
  <c r="J340" i="1"/>
  <c r="J339" i="1"/>
  <c r="J338" i="1"/>
  <c r="J337" i="1"/>
  <c r="J336" i="1"/>
  <c r="J335" i="1"/>
  <c r="J334" i="1"/>
  <c r="J333" i="1"/>
  <c r="J332" i="1"/>
  <c r="J331" i="1"/>
  <c r="J330" i="1"/>
  <c r="J329" i="1"/>
  <c r="J328" i="1"/>
  <c r="J327" i="1"/>
  <c r="J326" i="1"/>
  <c r="J325" i="1"/>
  <c r="J324" i="1"/>
  <c r="J323" i="1"/>
  <c r="J322" i="1"/>
  <c r="J321" i="1"/>
  <c r="J320" i="1"/>
  <c r="J319" i="1"/>
  <c r="J318" i="1"/>
  <c r="J317" i="1"/>
  <c r="J316" i="1"/>
  <c r="J315" i="1"/>
  <c r="J314" i="1"/>
  <c r="J313" i="1"/>
  <c r="J312" i="1"/>
  <c r="J311" i="1"/>
  <c r="J310" i="1"/>
  <c r="J309" i="1"/>
  <c r="J308" i="1"/>
  <c r="J307" i="1"/>
  <c r="J306" i="1"/>
  <c r="J305" i="1"/>
  <c r="J304" i="1"/>
  <c r="J303" i="1"/>
  <c r="J302" i="1"/>
  <c r="J301" i="1"/>
  <c r="J300" i="1"/>
  <c r="J299" i="1"/>
  <c r="J298" i="1"/>
  <c r="J297" i="1"/>
  <c r="J296" i="1"/>
  <c r="J295" i="1"/>
  <c r="J294" i="1"/>
  <c r="J293" i="1"/>
  <c r="J292" i="1"/>
  <c r="J291" i="1"/>
  <c r="J290" i="1"/>
  <c r="J289" i="1"/>
  <c r="J288" i="1"/>
  <c r="J287" i="1"/>
  <c r="J286" i="1"/>
  <c r="J285" i="1"/>
  <c r="J284" i="1"/>
  <c r="J283" i="1"/>
  <c r="J282" i="1"/>
  <c r="J281" i="1"/>
  <c r="J280" i="1"/>
  <c r="J279" i="1"/>
  <c r="J278" i="1"/>
  <c r="J277" i="1"/>
  <c r="J276" i="1"/>
  <c r="J275" i="1"/>
  <c r="J274" i="1"/>
  <c r="J273" i="1"/>
  <c r="J272" i="1"/>
  <c r="J271" i="1"/>
  <c r="J270" i="1"/>
  <c r="J269" i="1"/>
  <c r="J268" i="1"/>
  <c r="J267" i="1"/>
  <c r="J266" i="1"/>
  <c r="J265" i="1"/>
  <c r="J264" i="1"/>
  <c r="J263" i="1"/>
  <c r="J262" i="1"/>
  <c r="J261" i="1"/>
  <c r="J260" i="1"/>
  <c r="J259" i="1"/>
  <c r="J258" i="1"/>
  <c r="J257" i="1"/>
  <c r="J256" i="1"/>
  <c r="J255" i="1"/>
  <c r="J254" i="1"/>
  <c r="J253" i="1"/>
  <c r="J252" i="1"/>
  <c r="J251" i="1"/>
  <c r="J250" i="1"/>
  <c r="J249" i="1"/>
  <c r="J248" i="1"/>
  <c r="J247" i="1"/>
  <c r="J246" i="1"/>
  <c r="J245" i="1"/>
  <c r="J244" i="1"/>
  <c r="J243" i="1"/>
  <c r="J242" i="1"/>
  <c r="J241" i="1"/>
  <c r="J240" i="1"/>
  <c r="J239" i="1"/>
  <c r="J238" i="1"/>
  <c r="J237" i="1"/>
  <c r="J236" i="1"/>
  <c r="J235" i="1"/>
  <c r="J234" i="1"/>
  <c r="J233" i="1"/>
  <c r="J232" i="1"/>
  <c r="J231" i="1"/>
  <c r="J230" i="1"/>
  <c r="J229" i="1"/>
  <c r="J228" i="1"/>
  <c r="J227" i="1"/>
  <c r="J226" i="1"/>
  <c r="J225" i="1"/>
  <c r="J224" i="1"/>
  <c r="J223" i="1"/>
  <c r="J222" i="1"/>
  <c r="J221" i="1"/>
  <c r="J220" i="1"/>
  <c r="J219" i="1"/>
  <c r="J218" i="1"/>
  <c r="J217" i="1"/>
  <c r="J216" i="1"/>
  <c r="J215" i="1"/>
  <c r="J214" i="1"/>
  <c r="J213" i="1"/>
  <c r="J212" i="1"/>
  <c r="J211" i="1"/>
  <c r="J210" i="1"/>
  <c r="J209" i="1"/>
  <c r="J208" i="1"/>
  <c r="J207" i="1"/>
  <c r="J206" i="1"/>
  <c r="J205" i="1"/>
  <c r="J204" i="1"/>
  <c r="J203" i="1"/>
  <c r="J202" i="1"/>
  <c r="J201" i="1"/>
  <c r="J200" i="1"/>
  <c r="J199" i="1"/>
  <c r="J198" i="1"/>
  <c r="J197" i="1"/>
  <c r="J196" i="1"/>
  <c r="J195" i="1"/>
  <c r="J194" i="1"/>
  <c r="J193" i="1"/>
  <c r="J192" i="1"/>
  <c r="J191" i="1"/>
  <c r="J190" i="1"/>
  <c r="J189" i="1"/>
  <c r="J188" i="1"/>
  <c r="J187" i="1"/>
  <c r="J186" i="1"/>
  <c r="J185" i="1"/>
  <c r="J184" i="1"/>
  <c r="J183" i="1"/>
  <c r="J182" i="1"/>
  <c r="J181" i="1"/>
  <c r="J180" i="1"/>
  <c r="J179" i="1"/>
  <c r="J178" i="1"/>
  <c r="J177" i="1"/>
  <c r="J176" i="1"/>
  <c r="J175" i="1"/>
  <c r="J174" i="1"/>
  <c r="J173" i="1"/>
  <c r="J172" i="1"/>
  <c r="J171" i="1"/>
  <c r="J170" i="1"/>
  <c r="J169" i="1"/>
  <c r="J168" i="1"/>
  <c r="J167" i="1"/>
  <c r="J166" i="1"/>
  <c r="J165" i="1"/>
  <c r="J164" i="1"/>
  <c r="J163" i="1"/>
  <c r="J162" i="1"/>
  <c r="J161" i="1"/>
  <c r="J160" i="1"/>
  <c r="J159" i="1"/>
  <c r="J158" i="1"/>
  <c r="J157" i="1"/>
  <c r="J156" i="1"/>
  <c r="J155" i="1"/>
  <c r="J154" i="1"/>
  <c r="J153" i="1"/>
  <c r="J152" i="1"/>
  <c r="J151" i="1"/>
  <c r="J150" i="1"/>
  <c r="J149" i="1"/>
  <c r="J148" i="1"/>
  <c r="J147" i="1"/>
  <c r="J146" i="1"/>
  <c r="J145" i="1"/>
  <c r="J144" i="1"/>
  <c r="J143" i="1"/>
  <c r="J142" i="1"/>
  <c r="J141" i="1"/>
  <c r="J140" i="1"/>
  <c r="J139" i="1"/>
  <c r="J138" i="1"/>
  <c r="J137" i="1"/>
  <c r="J136" i="1"/>
  <c r="J135" i="1"/>
  <c r="J134" i="1"/>
  <c r="J133" i="1"/>
  <c r="J132" i="1"/>
  <c r="J131" i="1"/>
  <c r="J130" i="1"/>
  <c r="J129" i="1"/>
  <c r="J128" i="1"/>
  <c r="J127" i="1"/>
  <c r="J126" i="1"/>
  <c r="J125" i="1"/>
  <c r="J124" i="1"/>
  <c r="J123" i="1"/>
  <c r="J122" i="1"/>
  <c r="J121" i="1"/>
  <c r="J120" i="1"/>
  <c r="J119" i="1"/>
  <c r="J118" i="1"/>
  <c r="J117" i="1"/>
  <c r="J116" i="1"/>
  <c r="J115" i="1"/>
  <c r="J114" i="1"/>
  <c r="J113" i="1"/>
  <c r="J112" i="1"/>
  <c r="J111" i="1"/>
  <c r="J110" i="1"/>
  <c r="J109" i="1"/>
  <c r="J108" i="1"/>
  <c r="J107" i="1"/>
  <c r="J106" i="1"/>
  <c r="J105" i="1"/>
  <c r="J104" i="1"/>
  <c r="J103" i="1"/>
  <c r="J102" i="1"/>
  <c r="J101" i="1"/>
  <c r="J100" i="1"/>
  <c r="J99" i="1"/>
  <c r="J98" i="1"/>
  <c r="J97" i="1"/>
  <c r="J96" i="1"/>
  <c r="J95" i="1"/>
  <c r="J94" i="1"/>
  <c r="J93" i="1"/>
  <c r="J92" i="1"/>
  <c r="J91" i="1"/>
  <c r="J90" i="1"/>
  <c r="J89" i="1"/>
  <c r="J88" i="1"/>
  <c r="J87" i="1"/>
  <c r="J86" i="1"/>
  <c r="J85" i="1"/>
  <c r="J84" i="1"/>
  <c r="J83" i="1"/>
  <c r="J82" i="1"/>
  <c r="J81" i="1"/>
  <c r="J80" i="1"/>
  <c r="J79" i="1"/>
  <c r="J78" i="1"/>
  <c r="J77" i="1"/>
  <c r="J76" i="1"/>
  <c r="J75" i="1"/>
  <c r="J74" i="1"/>
  <c r="J73" i="1"/>
  <c r="J72" i="1"/>
  <c r="J71" i="1"/>
  <c r="J70" i="1"/>
  <c r="J69" i="1"/>
  <c r="J68" i="1"/>
  <c r="J67" i="1"/>
  <c r="J66" i="1"/>
  <c r="J65" i="1"/>
  <c r="J64" i="1"/>
  <c r="J63" i="1"/>
  <c r="J62" i="1"/>
  <c r="J61" i="1"/>
  <c r="J60" i="1"/>
  <c r="J59" i="1"/>
  <c r="J58" i="1"/>
  <c r="J57" i="1"/>
  <c r="J56" i="1"/>
  <c r="J55" i="1"/>
  <c r="J54" i="1"/>
  <c r="J53" i="1"/>
  <c r="J52" i="1"/>
  <c r="J51" i="1"/>
  <c r="J50" i="1"/>
  <c r="J49" i="1"/>
  <c r="J48" i="1"/>
  <c r="J47" i="1"/>
  <c r="J46" i="1"/>
  <c r="J45" i="1"/>
  <c r="J44" i="1"/>
  <c r="J43" i="1"/>
  <c r="J42" i="1"/>
  <c r="J41" i="1"/>
  <c r="J40" i="1"/>
  <c r="J39" i="1"/>
  <c r="J38" i="1"/>
  <c r="J37" i="1"/>
  <c r="J36" i="1"/>
  <c r="J35" i="1"/>
  <c r="J34" i="1"/>
  <c r="J33" i="1"/>
  <c r="J32" i="1"/>
  <c r="J31" i="1"/>
  <c r="J30" i="1"/>
  <c r="J29" i="1"/>
  <c r="J28" i="1"/>
  <c r="J27" i="1"/>
  <c r="J26" i="1"/>
  <c r="J25" i="1"/>
  <c r="J24" i="1"/>
  <c r="J23" i="1"/>
  <c r="J22" i="1"/>
  <c r="J21" i="1"/>
  <c r="J20" i="1"/>
  <c r="J19" i="1"/>
  <c r="J18" i="1"/>
  <c r="J17" i="1"/>
  <c r="J16" i="1"/>
  <c r="J15" i="1"/>
  <c r="J14" i="1"/>
  <c r="J13" i="1"/>
  <c r="J12" i="1"/>
  <c r="J11" i="1"/>
  <c r="J10" i="1"/>
  <c r="J9" i="1"/>
  <c r="J8" i="1"/>
  <c r="J7" i="1"/>
  <c r="J6" i="1"/>
  <c r="J5" i="1"/>
  <c r="J4" i="1"/>
  <c r="J3" i="1"/>
  <c r="J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A4CD7E2-106E-4952-8013-9A7588291EA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048E493-814B-4903-9949-E05F202E1635}" name="WorksheetConnection_HR_Analytics_Dataset.xlsx!Table1" type="102" refreshedVersion="8" minRefreshableVersion="5" saveData="1">
    <extLst>
      <ext xmlns:x15="http://schemas.microsoft.com/office/spreadsheetml/2010/11/main" uri="{DE250136-89BD-433C-8126-D09CA5730AF9}">
        <x15:connection id="Table1" autoDelete="1">
          <x15:rangePr sourceName="_xlcn.WorksheetConnection_HR_Analytics_Dataset.xlsxTable11"/>
        </x15:connection>
      </ext>
    </extLst>
  </connection>
</connections>
</file>

<file path=xl/sharedStrings.xml><?xml version="1.0" encoding="utf-8"?>
<sst xmlns="http://schemas.openxmlformats.org/spreadsheetml/2006/main" count="4076" uniqueCount="57">
  <si>
    <t>Age</t>
  </si>
  <si>
    <t>Gender</t>
  </si>
  <si>
    <t>Department</t>
  </si>
  <si>
    <t>Attrition</t>
  </si>
  <si>
    <t>Female</t>
  </si>
  <si>
    <t>IT</t>
  </si>
  <si>
    <t>Engineer</t>
  </si>
  <si>
    <t>No</t>
  </si>
  <si>
    <t>Finance</t>
  </si>
  <si>
    <t>Accountant</t>
  </si>
  <si>
    <t>Male</t>
  </si>
  <si>
    <t>Sales</t>
  </si>
  <si>
    <t>Sales Executive</t>
  </si>
  <si>
    <t>Financial Analyst</t>
  </si>
  <si>
    <t>Sales Manager</t>
  </si>
  <si>
    <t>Yes</t>
  </si>
  <si>
    <t>HR</t>
  </si>
  <si>
    <t>HR Executive</t>
  </si>
  <si>
    <t>Operations</t>
  </si>
  <si>
    <t>Supervisor</t>
  </si>
  <si>
    <t>Developer</t>
  </si>
  <si>
    <t>Marketing</t>
  </si>
  <si>
    <t>SEO Specialist</t>
  </si>
  <si>
    <t>Operations Executive</t>
  </si>
  <si>
    <t>Marketing Executive</t>
  </si>
  <si>
    <t>Recruiter</t>
  </si>
  <si>
    <t>Analyst</t>
  </si>
  <si>
    <t>Performance Rating</t>
  </si>
  <si>
    <t>Years At Company</t>
  </si>
  <si>
    <t>Monthly Income</t>
  </si>
  <si>
    <t>Job Role</t>
  </si>
  <si>
    <t>Employee ID</t>
  </si>
  <si>
    <t>Metrics</t>
  </si>
  <si>
    <t>Value</t>
  </si>
  <si>
    <t>Total Employees</t>
  </si>
  <si>
    <t>Employees Stayed</t>
  </si>
  <si>
    <t>Employees Left</t>
  </si>
  <si>
    <t>Attrition Rate</t>
  </si>
  <si>
    <t>Avg Salary</t>
  </si>
  <si>
    <t>Avg Experience</t>
  </si>
  <si>
    <t>Avg Performance</t>
  </si>
  <si>
    <t>Row Labels</t>
  </si>
  <si>
    <t>Grand Total</t>
  </si>
  <si>
    <t>Employees by Department</t>
  </si>
  <si>
    <t>Gender Distribution</t>
  </si>
  <si>
    <t>Attrition by Department</t>
  </si>
  <si>
    <t>Column Labels</t>
  </si>
  <si>
    <t>Average of Monthly Income</t>
  </si>
  <si>
    <t>Average of Performance Rating</t>
  </si>
  <si>
    <t>*</t>
  </si>
  <si>
    <t>Average Salary by Department</t>
  </si>
  <si>
    <t>Average Performance Rating by Department</t>
  </si>
  <si>
    <t>Experience Level</t>
  </si>
  <si>
    <t>Junior</t>
  </si>
  <si>
    <t>Mid-Level</t>
  </si>
  <si>
    <t>Senior</t>
  </si>
  <si>
    <t>Count of Employee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</si>
</sst>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0"/>
  </numFmts>
  <fonts count="4" x14ac:knownFonts="1">
    <font>
      <sz val="11"/>
      <name val="Calibri"/>
      <scheme val="minor"/>
    </font>
    <font>
      <sz val="11"/>
      <name val="Calibri"/>
      <family val="2"/>
      <scheme val="minor"/>
    </font>
    <font>
      <b/>
      <sz val="11"/>
      <color theme="1"/>
      <name val="Calibri"/>
      <family val="2"/>
      <scheme val="minor"/>
    </font>
    <font>
      <b/>
      <sz val="11"/>
      <name val="Calibri"/>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theme="7" tint="0.59999389629810485"/>
        <bgColor indexed="64"/>
      </patternFill>
    </fill>
  </fills>
  <borders count="2">
    <border>
      <left/>
      <right/>
      <top/>
      <bottom/>
      <diagonal/>
    </border>
    <border>
      <left/>
      <right/>
      <top/>
      <bottom style="thin">
        <color theme="4" tint="0.39997558519241921"/>
      </bottom>
      <diagonal/>
    </border>
  </borders>
  <cellStyleXfs count="2">
    <xf numFmtId="0" fontId="0" fillId="0" borderId="0"/>
    <xf numFmtId="9" fontId="1" fillId="0" borderId="0" applyFont="0" applyFill="0" applyBorder="0" applyAlignment="0" applyProtection="0"/>
  </cellStyleXfs>
  <cellXfs count="14">
    <xf numFmtId="0" fontId="0" fillId="0" borderId="0" xfId="0"/>
    <xf numFmtId="0" fontId="1" fillId="0" borderId="0" xfId="0" applyFont="1"/>
    <xf numFmtId="0" fontId="3" fillId="0" borderId="0" xfId="0" applyFont="1"/>
    <xf numFmtId="9" fontId="0" fillId="0" borderId="0" xfId="1" applyFont="1"/>
    <xf numFmtId="0" fontId="0" fillId="0" borderId="0" xfId="0" pivotButton="1"/>
    <xf numFmtId="0" fontId="0" fillId="0" borderId="0" xfId="0" applyAlignment="1">
      <alignment horizontal="left"/>
    </xf>
    <xf numFmtId="0" fontId="2" fillId="2" borderId="1" xfId="0" applyFont="1" applyFill="1" applyBorder="1"/>
    <xf numFmtId="4" fontId="0" fillId="0" borderId="0" xfId="0" applyNumberFormat="1"/>
    <xf numFmtId="164" fontId="0" fillId="0" borderId="0" xfId="0" applyNumberFormat="1"/>
    <xf numFmtId="0" fontId="0" fillId="3" borderId="0" xfId="0" applyFill="1"/>
    <xf numFmtId="164" fontId="0" fillId="0" borderId="0" xfId="1" applyNumberFormat="1" applyFont="1"/>
    <xf numFmtId="0" fontId="0" fillId="0" borderId="0" xfId="0" applyNumberFormat="1"/>
    <xf numFmtId="0" fontId="1" fillId="3" borderId="0" xfId="0" applyFont="1" applyFill="1"/>
    <xf numFmtId="10" fontId="0" fillId="0" borderId="0" xfId="0" applyNumberFormat="1"/>
  </cellXfs>
  <cellStyles count="2">
    <cellStyle name="Normal" xfId="0" builtinId="0"/>
    <cellStyle name="Percent" xfId="1" builtinId="5"/>
  </cellStyles>
  <dxfs count="39">
    <dxf>
      <font>
        <b/>
        <color theme="1"/>
      </font>
      <border>
        <bottom style="thin">
          <color theme="7"/>
        </bottom>
        <vertical/>
        <horizontal/>
      </border>
    </dxf>
    <dxf>
      <font>
        <color theme="1"/>
      </font>
      <border>
        <left style="thin">
          <color theme="7" tint="-0.499984740745262"/>
        </left>
        <right style="thin">
          <color theme="7" tint="-0.499984740745262"/>
        </right>
        <top style="thin">
          <color theme="7" tint="-0.499984740745262"/>
        </top>
        <bottom style="thin">
          <color theme="7" tint="-0.499984740745262"/>
        </bottom>
        <vertical/>
        <horizontal/>
      </border>
    </dxf>
    <dxf>
      <font>
        <b/>
        <color theme="1"/>
      </font>
      <border>
        <bottom style="thin">
          <color theme="7"/>
        </bottom>
        <vertical/>
        <horizontal/>
      </border>
    </dxf>
    <dxf>
      <font>
        <color theme="1"/>
      </font>
      <border>
        <left style="thin">
          <color theme="7" tint="-0.24994659260841701"/>
        </left>
        <right style="thin">
          <color theme="7" tint="-0.24994659260841701"/>
        </right>
        <top style="thin">
          <color theme="7" tint="-0.24994659260841701"/>
        </top>
        <bottom style="thin">
          <color theme="7" tint="-0.24994659260841701"/>
        </bottom>
        <vertical/>
        <horizontal/>
      </border>
    </dxf>
    <dxf>
      <numFmt numFmtId="0" formatCode="General"/>
    </dxf>
    <dxf>
      <font>
        <b/>
        <color theme="1"/>
      </font>
      <border>
        <bottom style="thin">
          <color theme="7"/>
        </bottom>
        <vertical/>
        <horizontal/>
      </border>
    </dxf>
    <dxf>
      <font>
        <color theme="1"/>
      </font>
      <border>
        <left style="thin">
          <color theme="7"/>
        </left>
        <right style="thin">
          <color theme="7"/>
        </right>
        <top style="thin">
          <color theme="7"/>
        </top>
        <bottom style="thin">
          <color theme="7"/>
        </bottom>
        <vertical/>
        <horizontal/>
      </border>
    </dxf>
    <dxf>
      <font>
        <b/>
        <color theme="1"/>
      </font>
      <border>
        <bottom style="thin">
          <color theme="7"/>
        </bottom>
        <vertical/>
        <horizontal/>
      </border>
    </dxf>
    <dxf>
      <font>
        <color theme="1"/>
      </font>
      <border>
        <left style="thin">
          <color theme="7"/>
        </left>
        <right style="thin">
          <color theme="7"/>
        </right>
        <top style="thin">
          <color theme="7"/>
        </top>
        <bottom style="thin">
          <color theme="7"/>
        </bottom>
        <vertical/>
        <horizontal/>
      </border>
    </dxf>
    <dxf>
      <font>
        <b/>
        <color theme="1"/>
      </font>
      <border>
        <bottom style="thin">
          <color theme="7"/>
        </bottom>
        <vertical/>
        <horizontal/>
      </border>
    </dxf>
    <dxf>
      <font>
        <color theme="1"/>
      </font>
      <border>
        <left style="thin">
          <color theme="7"/>
        </left>
        <right style="thin">
          <color theme="7"/>
        </right>
        <top style="thin">
          <color theme="7"/>
        </top>
        <bottom style="thin">
          <color theme="7"/>
        </bottom>
        <vertical/>
        <horizontal/>
      </border>
    </dxf>
    <dxf>
      <font>
        <b/>
        <color theme="1"/>
      </font>
      <border>
        <bottom style="thin">
          <color theme="7"/>
        </bottom>
        <vertical/>
        <horizontal/>
      </border>
    </dxf>
    <dxf>
      <font>
        <color theme="1"/>
      </font>
      <border>
        <left style="thin">
          <color theme="7"/>
        </left>
        <right style="thin">
          <color theme="7"/>
        </right>
        <top style="thin">
          <color theme="7"/>
        </top>
        <bottom style="thin">
          <color theme="7"/>
        </bottom>
        <vertical/>
        <horizontal/>
      </border>
    </dxf>
    <dxf>
      <font>
        <b/>
        <color theme="1"/>
      </font>
      <border>
        <bottom style="thin">
          <color theme="7"/>
        </bottom>
        <vertical/>
        <horizontal/>
      </border>
    </dxf>
    <dxf>
      <font>
        <color theme="1"/>
      </font>
      <border>
        <left style="thin">
          <color theme="7"/>
        </left>
        <right style="thin">
          <color theme="7"/>
        </right>
        <top style="thin">
          <color theme="7"/>
        </top>
        <bottom style="thin">
          <color theme="7"/>
        </bottom>
        <vertical/>
        <horizontal/>
      </border>
    </dxf>
    <dxf>
      <font>
        <b/>
        <color theme="1"/>
      </font>
      <border>
        <bottom style="thin">
          <color theme="7"/>
        </bottom>
        <vertical/>
        <horizontal/>
      </border>
    </dxf>
    <dxf>
      <font>
        <color theme="1"/>
      </font>
      <fill>
        <patternFill>
          <bgColor theme="0" tint="-0.34998626667073579"/>
        </patternFill>
      </fill>
      <border>
        <left style="thin">
          <color theme="7"/>
        </left>
        <right style="thin">
          <color theme="7"/>
        </right>
        <top style="thin">
          <color theme="7"/>
        </top>
        <bottom style="thin">
          <color theme="7"/>
        </bottom>
        <vertical/>
        <horizontal/>
      </border>
    </dxf>
    <dxf>
      <font>
        <b/>
        <color theme="1"/>
      </font>
      <border>
        <bottom style="thin">
          <color theme="7"/>
        </bottom>
        <vertical/>
        <horizontal/>
      </border>
    </dxf>
    <dxf>
      <font>
        <color theme="1"/>
      </font>
      <border>
        <left style="thin">
          <color theme="7"/>
        </left>
        <right style="thin">
          <color theme="7"/>
        </right>
        <top style="thin">
          <color theme="7"/>
        </top>
        <bottom style="thin">
          <color theme="7"/>
        </bottom>
        <vertical/>
        <horizontal/>
      </border>
    </dxf>
    <dxf>
      <font>
        <b/>
        <color theme="1"/>
      </font>
      <border>
        <bottom style="thin">
          <color theme="7"/>
        </bottom>
        <vertical/>
        <horizontal/>
      </border>
    </dxf>
    <dxf>
      <font>
        <color theme="1"/>
      </font>
      <border>
        <left style="thin">
          <color theme="7"/>
        </left>
        <right style="thin">
          <color theme="7"/>
        </right>
        <top style="thin">
          <color theme="7"/>
        </top>
        <bottom style="thin">
          <color theme="7"/>
        </bottom>
        <vertical/>
        <horizontal/>
      </border>
    </dxf>
    <dxf>
      <font>
        <b/>
        <color theme="1"/>
      </font>
      <border>
        <bottom style="thin">
          <color theme="7"/>
        </bottom>
        <vertical/>
        <horizontal/>
      </border>
    </dxf>
    <dxf>
      <font>
        <color theme="1"/>
      </font>
      <border>
        <left style="thin">
          <color theme="7"/>
        </left>
        <right style="thin">
          <color theme="7"/>
        </right>
        <top style="thin">
          <color theme="7"/>
        </top>
        <bottom style="thin">
          <color theme="7"/>
        </bottom>
        <vertical/>
        <horizontal/>
      </border>
    </dxf>
    <dxf>
      <font>
        <b/>
        <color theme="1"/>
      </font>
      <border>
        <bottom style="thin">
          <color theme="7"/>
        </bottom>
        <vertical/>
        <horizontal/>
      </border>
    </dxf>
    <dxf>
      <font>
        <color theme="1"/>
      </font>
      <border>
        <left style="thin">
          <color theme="7"/>
        </left>
        <right style="thin">
          <color theme="7"/>
        </right>
        <top style="thin">
          <color theme="7"/>
        </top>
        <bottom style="thin">
          <color theme="7"/>
        </bottom>
        <vertical/>
        <horizontal/>
      </border>
    </dxf>
    <dxf>
      <font>
        <b/>
        <color theme="1"/>
      </font>
      <border>
        <bottom style="thin">
          <color theme="7"/>
        </bottom>
        <vertical/>
        <horizontal/>
      </border>
    </dxf>
    <dxf>
      <font>
        <color theme="1"/>
      </font>
      <border>
        <left style="thin">
          <color theme="7"/>
        </left>
        <right style="thin">
          <color theme="7"/>
        </right>
        <top style="thin">
          <color theme="7"/>
        </top>
        <bottom style="thin">
          <color theme="7"/>
        </bottom>
        <vertical/>
        <horizontal/>
      </border>
    </dxf>
    <dxf>
      <font>
        <b/>
        <color theme="1"/>
      </font>
      <border>
        <bottom style="thin">
          <color theme="7"/>
        </bottom>
        <vertical/>
        <horizontal/>
      </border>
    </dxf>
    <dxf>
      <font>
        <color theme="1"/>
      </font>
      <border>
        <left style="thin">
          <color theme="7"/>
        </left>
        <right style="thin">
          <color theme="7"/>
        </right>
        <top style="thin">
          <color theme="7"/>
        </top>
        <bottom style="thin">
          <color theme="7"/>
        </bottom>
        <vertical/>
        <horizontal/>
      </border>
    </dxf>
    <dxf>
      <font>
        <b/>
        <color theme="1"/>
      </font>
      <border>
        <bottom style="thin">
          <color theme="7"/>
        </bottom>
        <vertical/>
        <horizontal/>
      </border>
    </dxf>
    <dxf>
      <font>
        <color theme="1"/>
      </font>
      <border>
        <left style="thin">
          <color theme="0" tint="-0.34998626667073579"/>
        </left>
        <right style="thin">
          <color theme="0" tint="-0.34998626667073579"/>
        </right>
        <top style="thin">
          <color theme="0" tint="-0.34998626667073579"/>
        </top>
        <bottom style="thin">
          <color theme="0" tint="-0.34998626667073579"/>
        </bottom>
        <vertical/>
        <horizontal/>
      </border>
    </dxf>
    <dxf>
      <font>
        <b/>
        <color theme="1"/>
      </font>
      <border>
        <bottom style="thin">
          <color theme="7"/>
        </bottom>
        <vertical/>
        <horizontal/>
      </border>
    </dxf>
    <dxf>
      <font>
        <color theme="1"/>
      </font>
      <border>
        <left style="thin">
          <color theme="0" tint="-0.34998626667073579"/>
        </left>
        <right style="thin">
          <color theme="0" tint="-0.34998626667073579"/>
        </right>
        <top style="thin">
          <color theme="0" tint="-0.34998626667073579"/>
        </top>
        <bottom style="thin">
          <color theme="0" tint="-0.34998626667073579"/>
        </bottom>
        <vertical/>
        <horizontal/>
      </border>
    </dxf>
    <dxf>
      <font>
        <b/>
        <color theme="1"/>
      </font>
      <border>
        <bottom style="thin">
          <color theme="7"/>
        </bottom>
        <vertical/>
        <horizontal/>
      </border>
    </dxf>
    <dxf>
      <font>
        <color theme="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horizontal/>
      </border>
    </dxf>
    <dxf>
      <font>
        <b/>
        <color theme="1"/>
      </font>
      <border>
        <bottom style="thin">
          <color theme="7"/>
        </bottom>
        <vertical/>
        <horizontal/>
      </border>
    </dxf>
    <dxf>
      <font>
        <color theme="1"/>
      </font>
      <fill>
        <patternFill>
          <bgColor theme="0" tint="-0.24994659260841701"/>
        </patternFill>
      </fill>
      <border>
        <left style="thin">
          <color theme="0" tint="-0.34998626667073579"/>
        </left>
        <right style="thin">
          <color theme="0" tint="-0.34998626667073579"/>
        </right>
        <top style="thin">
          <color theme="0" tint="-0.34998626667073579"/>
        </top>
        <bottom style="thin">
          <color theme="0" tint="-0.34998626667073579"/>
        </bottom>
        <vertical/>
        <horizontal/>
      </border>
    </dxf>
    <dxf>
      <font>
        <b/>
        <color theme="1"/>
      </font>
      <border>
        <bottom style="thin">
          <color theme="7"/>
        </bottom>
        <vertical/>
        <horizontal/>
      </border>
    </dxf>
    <dxf>
      <font>
        <color theme="1"/>
      </font>
      <border>
        <left style="thin">
          <color theme="0" tint="-0.34998626667073579"/>
        </left>
        <right style="thin">
          <color theme="0" tint="-0.34998626667073579"/>
        </right>
        <top style="thin">
          <color theme="0" tint="-0.34998626667073579"/>
        </top>
        <bottom style="thin">
          <color theme="0" tint="-0.34998626667073579"/>
        </bottom>
        <vertical/>
        <horizontal/>
      </border>
    </dxf>
  </dxfs>
  <tableStyles count="19" defaultTableStyle="TableStyleMedium2" defaultPivotStyle="PivotStyleLight16">
    <tableStyle name="SlicerStyleDark4 2" pivot="0" table="0" count="10" xr9:uid="{ABF2828B-FDB3-4B8F-A8CF-0E5FF2132543}">
      <tableStyleElement type="wholeTable" dxfId="38"/>
      <tableStyleElement type="headerRow" dxfId="37"/>
    </tableStyle>
    <tableStyle name="SlicerStyleDark4 2 2" pivot="0" table="0" count="10" xr9:uid="{0715C08D-3CEE-466E-A9DC-CA2D6CAC4E2C}">
      <tableStyleElement type="wholeTable" dxfId="36"/>
      <tableStyleElement type="headerRow" dxfId="35"/>
    </tableStyle>
    <tableStyle name="SlicerStyleDark4 2 2 2" pivot="0" table="0" count="10" xr9:uid="{EF102CB6-D222-4D79-BA59-8CB4BCAA6437}">
      <tableStyleElement type="wholeTable" dxfId="34"/>
      <tableStyleElement type="headerRow" dxfId="33"/>
    </tableStyle>
    <tableStyle name="SlicerStyleDark4 2 3" pivot="0" table="0" count="10" xr9:uid="{0A58916E-4732-406B-893A-12633F29E244}">
      <tableStyleElement type="wholeTable" dxfId="32"/>
      <tableStyleElement type="headerRow" dxfId="31"/>
    </tableStyle>
    <tableStyle name="SlicerStyleDark4 2 4" pivot="0" table="0" count="10" xr9:uid="{420C1C84-F83C-4DAC-9294-38E7931A5CEF}">
      <tableStyleElement type="wholeTable" dxfId="3"/>
      <tableStyleElement type="headerRow" dxfId="2"/>
    </tableStyle>
    <tableStyle name="SlicerStyleDark4 2 5" pivot="0" table="0" count="10" xr9:uid="{9A93D7A1-5A28-4F52-95FD-4CC12D422CAE}">
      <tableStyleElement type="wholeTable" dxfId="1"/>
      <tableStyleElement type="headerRow" dxfId="0"/>
    </tableStyle>
    <tableStyle name="SlicerStyleDark4 3" pivot="0" table="0" count="10" xr9:uid="{735C3AEA-8917-42B8-A312-4B868A7057BA}">
      <tableStyleElement type="wholeTable" dxfId="30"/>
      <tableStyleElement type="headerRow" dxfId="29"/>
    </tableStyle>
    <tableStyle name="SlicerStyleDark4 4" pivot="0" table="0" count="10" xr9:uid="{4D870C80-D666-4BC9-BC10-96757661B4E8}">
      <tableStyleElement type="wholeTable" dxfId="28"/>
      <tableStyleElement type="headerRow" dxfId="27"/>
    </tableStyle>
    <tableStyle name="SlicerStyleDark4 5" pivot="0" table="0" count="10" xr9:uid="{88F0030D-11AC-49DD-952F-357C958665C4}">
      <tableStyleElement type="wholeTable" dxfId="26"/>
      <tableStyleElement type="headerRow" dxfId="25"/>
    </tableStyle>
    <tableStyle name="SlicerStyleDark4 6" pivot="0" table="0" count="10" xr9:uid="{C36AD33A-B324-4F95-AF54-7FBCEA39FD23}">
      <tableStyleElement type="wholeTable" dxfId="24"/>
      <tableStyleElement type="headerRow" dxfId="23"/>
    </tableStyle>
    <tableStyle name="SlicerStyleDark4 7" pivot="0" table="0" count="10" xr9:uid="{F396A181-A28F-4605-B2AD-A3CE4FF19E8E}">
      <tableStyleElement type="wholeTable" dxfId="22"/>
      <tableStyleElement type="headerRow" dxfId="21"/>
    </tableStyle>
    <tableStyle name="SlicerStyleDark4 7 2" pivot="0" table="0" count="10" xr9:uid="{AAEED88C-EE8E-4FF0-98B9-B9B25A3F5567}">
      <tableStyleElement type="wholeTable" dxfId="20"/>
      <tableStyleElement type="headerRow" dxfId="19"/>
    </tableStyle>
    <tableStyle name="SlicerStyleDark4 7 3" pivot="0" table="0" count="10" xr9:uid="{F866CA8B-EFE5-45E8-9274-283724ADBDE1}">
      <tableStyleElement type="wholeTable" dxfId="18"/>
      <tableStyleElement type="headerRow" dxfId="17"/>
    </tableStyle>
    <tableStyle name="SlicerStyleDark4 7 4" pivot="0" table="0" count="10" xr9:uid="{EFCE0BCF-230F-42F2-9B98-19DC637D472A}">
      <tableStyleElement type="wholeTable" dxfId="16"/>
      <tableStyleElement type="headerRow" dxfId="15"/>
    </tableStyle>
    <tableStyle name="SlicerStyleDark4 7 5" pivot="0" table="0" count="10" xr9:uid="{35042722-AB8C-48D7-A4DC-89E682CCB207}">
      <tableStyleElement type="wholeTable" dxfId="14"/>
      <tableStyleElement type="headerRow" dxfId="13"/>
    </tableStyle>
    <tableStyle name="SlicerStyleDark4 7 6" pivot="0" table="0" count="10" xr9:uid="{73EF7E7D-2B4E-46B3-94C8-57427101588F}">
      <tableStyleElement type="wholeTable" dxfId="12"/>
      <tableStyleElement type="headerRow" dxfId="11"/>
    </tableStyle>
    <tableStyle name="SlicerStyleDark4 7 7" pivot="0" table="0" count="10" xr9:uid="{275AD3AB-1387-4E16-B0AB-4587C4F4B4C2}">
      <tableStyleElement type="wholeTable" dxfId="10"/>
      <tableStyleElement type="headerRow" dxfId="9"/>
    </tableStyle>
    <tableStyle name="SlicerStyleDark4 7 8" pivot="0" table="0" count="10" xr9:uid="{B26B81A4-085E-417C-ABB0-1E8C2BFA8C0F}">
      <tableStyleElement type="wholeTable" dxfId="8"/>
      <tableStyleElement type="headerRow" dxfId="7"/>
    </tableStyle>
    <tableStyle name="SlicerStyleDark4 7 9" pivot="0" table="0" count="10" xr9:uid="{F6016A46-190E-40A9-B85C-1E066D33C374}">
      <tableStyleElement type="wholeTable" dxfId="6"/>
      <tableStyleElement type="headerRow" dxfId="5"/>
    </tableStyle>
  </tableStyles>
  <extLst>
    <ext xmlns:x14="http://schemas.microsoft.com/office/spreadsheetml/2009/9/main" uri="{46F421CA-312F-682f-3DD2-61675219B42D}">
      <x14:dxfs count="152">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7" tint="-0.249977111117893"/>
          </font>
          <fill>
            <patternFill patternType="solid">
              <fgColor theme="7" tint="0.59999389629810485"/>
              <bgColor theme="7" tint="0.59999389629810485"/>
            </patternFill>
          </fill>
          <border>
            <left style="thin">
              <color theme="7" tint="0.59999389629810485"/>
            </left>
            <right style="thin">
              <color theme="7" tint="0.59999389629810485"/>
            </right>
            <top style="thin">
              <color theme="7" tint="0.59999389629810485"/>
            </top>
            <bottom style="thin">
              <color theme="7" tint="0.59999389629810485"/>
            </bottom>
            <vertical/>
            <horizontal/>
          </border>
        </dxf>
        <dxf>
          <font>
            <color theme="0"/>
          </font>
          <fill>
            <patternFill patternType="solid">
              <fgColor theme="7"/>
              <bgColor theme="7"/>
            </patternFill>
          </fill>
          <border>
            <left style="thin">
              <color theme="7"/>
            </left>
            <right style="thin">
              <color theme="7"/>
            </right>
            <top style="thin">
              <color theme="7"/>
            </top>
            <bottom style="thin">
              <color theme="7"/>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7" tint="-0.249977111117893"/>
          </font>
          <fill>
            <patternFill patternType="solid">
              <fgColor theme="7" tint="0.59999389629810485"/>
              <bgColor theme="7" tint="0.59999389629810485"/>
            </patternFill>
          </fill>
          <border>
            <left style="thin">
              <color theme="7" tint="0.59999389629810485"/>
            </left>
            <right style="thin">
              <color theme="7" tint="0.59999389629810485"/>
            </right>
            <top style="thin">
              <color theme="7" tint="0.59999389629810485"/>
            </top>
            <bottom style="thin">
              <color theme="7" tint="0.59999389629810485"/>
            </bottom>
            <vertical/>
            <horizontal/>
          </border>
        </dxf>
        <dxf>
          <font>
            <color theme="0"/>
          </font>
          <fill>
            <patternFill patternType="solid">
              <fgColor theme="7"/>
              <bgColor theme="7"/>
            </patternFill>
          </fill>
          <border>
            <left style="thin">
              <color theme="7"/>
            </left>
            <right style="thin">
              <color theme="7"/>
            </right>
            <top style="thin">
              <color theme="7"/>
            </top>
            <bottom style="thin">
              <color theme="7"/>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patternFill patternType="solid">
              <fgColor theme="7" tint="0.79998168889431442"/>
              <bgColor theme="7" tint="0.79998168889431442"/>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theme="7" tint="0.79998168889431442"/>
              <bgColor theme="7" tint="0.79998168889431442"/>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theme="7" tint="0.79998168889431442"/>
              <bgColor theme="7" tint="0.79998168889431442"/>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theme="7" tint="0.79998168889431442"/>
              <bgColor theme="7" tint="0.79998168889431442"/>
            </patternFill>
          </fill>
          <border>
            <left style="thin">
              <color rgb="FF999999"/>
            </left>
            <right style="thin">
              <color rgb="FF999999"/>
            </right>
            <top style="thin">
              <color rgb="FF999999"/>
            </top>
            <bottom style="thin">
              <color rgb="FF999999"/>
            </bottom>
            <vertical/>
            <horizontal/>
          </border>
        </dxf>
        <dxf>
          <font>
            <color theme="7" tint="-0.249977111117893"/>
          </font>
          <fill>
            <patternFill patternType="solid">
              <fgColor theme="7" tint="0.59999389629810485"/>
              <bgColor theme="7" tint="0.59999389629810485"/>
            </patternFill>
          </fill>
          <border>
            <left style="thin">
              <color theme="7" tint="0.59999389629810485"/>
            </left>
            <right style="thin">
              <color theme="7" tint="0.59999389629810485"/>
            </right>
            <top style="thin">
              <color theme="7" tint="0.59999389629810485"/>
            </top>
            <bottom style="thin">
              <color theme="7" tint="0.59999389629810485"/>
            </bottom>
            <vertical/>
            <horizontal/>
          </border>
        </dxf>
        <dxf>
          <font>
            <color theme="0"/>
          </font>
          <fill>
            <patternFill patternType="solid">
              <fgColor theme="7"/>
              <bgColor theme="7"/>
            </patternFill>
          </fill>
          <border>
            <left style="thin">
              <color theme="7"/>
            </left>
            <right style="thin">
              <color theme="7"/>
            </right>
            <top style="thin">
              <color theme="7"/>
            </top>
            <bottom style="thin">
              <color theme="7"/>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theme="7" tint="-0.24994659260841701"/>
              <bgColor theme="7" tint="-0.499984740745262"/>
            </patternFill>
          </fill>
          <border>
            <left style="thin">
              <color rgb="FFC0C0C0"/>
            </left>
            <right style="thin">
              <color rgb="FFC0C0C0"/>
            </right>
            <top style="thin">
              <color rgb="FFC0C0C0"/>
            </top>
            <bottom style="thin">
              <color rgb="FFC0C0C0"/>
            </bottom>
            <vertical/>
            <horizontal/>
          </border>
        </dxf>
        <dxf>
          <font>
            <color rgb="FF000000"/>
          </font>
          <fill>
            <patternFill patternType="solid">
              <fgColor theme="7" tint="0.79998168889431442"/>
              <bgColor theme="7" tint="0.79998168889431442"/>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theme="7" tint="0.79998168889431442"/>
              <bgColor theme="7" tint="0.79998168889431442"/>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theme="7" tint="0.79998168889431442"/>
              <bgColor theme="7" tint="0.79998168889431442"/>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theme="7" tint="0.79998168889431442"/>
              <bgColor theme="7" tint="0.79998168889431442"/>
            </patternFill>
          </fill>
          <border>
            <left style="thin">
              <color rgb="FF999999"/>
            </left>
            <right style="thin">
              <color rgb="FF999999"/>
            </right>
            <top style="thin">
              <color rgb="FF999999"/>
            </top>
            <bottom style="thin">
              <color rgb="FF999999"/>
            </bottom>
            <vertical/>
            <horizontal/>
          </border>
        </dxf>
        <dxf>
          <font>
            <color theme="7" tint="-0.249977111117893"/>
          </font>
          <fill>
            <patternFill patternType="solid">
              <fgColor theme="7" tint="0.59999389629810485"/>
              <bgColor theme="0" tint="-0.24994659260841701"/>
            </patternFill>
          </fill>
          <border>
            <left style="thin">
              <color theme="7" tint="0.59999389629810485"/>
            </left>
            <right style="thin">
              <color theme="7" tint="0.59999389629810485"/>
            </right>
            <top style="thin">
              <color theme="7" tint="0.59999389629810485"/>
            </top>
            <bottom style="thin">
              <color theme="7" tint="0.59999389629810485"/>
            </bottom>
            <vertical/>
            <horizontal/>
          </border>
        </dxf>
        <dxf>
          <font>
            <color theme="0"/>
          </font>
          <fill>
            <patternFill patternType="solid">
              <fgColor theme="7"/>
              <bgColor theme="7"/>
            </patternFill>
          </fill>
          <border>
            <left style="thin">
              <color theme="7"/>
            </left>
            <right style="thin">
              <color theme="7"/>
            </right>
            <top style="thin">
              <color theme="7"/>
            </top>
            <bottom style="thin">
              <color theme="7"/>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patternFill patternType="solid">
              <fgColor theme="7" tint="0.79998168889431442"/>
              <bgColor theme="7" tint="0.79998168889431442"/>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theme="7" tint="0.79998168889431442"/>
              <bgColor theme="7" tint="0.79998168889431442"/>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theme="7" tint="0.79998168889431442"/>
              <bgColor theme="7" tint="0.79998168889431442"/>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theme="7" tint="0.79998168889431442"/>
              <bgColor theme="7" tint="0.79998168889431442"/>
            </patternFill>
          </fill>
          <border>
            <left style="thin">
              <color rgb="FF999999"/>
            </left>
            <right style="thin">
              <color rgb="FF999999"/>
            </right>
            <top style="thin">
              <color rgb="FF999999"/>
            </top>
            <bottom style="thin">
              <color rgb="FF999999"/>
            </bottom>
            <vertical/>
            <horizontal/>
          </border>
        </dxf>
        <dxf>
          <font>
            <color theme="7" tint="-0.249977111117893"/>
          </font>
          <fill>
            <patternFill patternType="solid">
              <fgColor theme="7" tint="0.59999389629810485"/>
              <bgColor theme="7" tint="0.59999389629810485"/>
            </patternFill>
          </fill>
          <border>
            <left style="thin">
              <color theme="7" tint="0.59999389629810485"/>
            </left>
            <right style="thin">
              <color theme="7" tint="0.59999389629810485"/>
            </right>
            <top style="thin">
              <color theme="7" tint="0.59999389629810485"/>
            </top>
            <bottom style="thin">
              <color theme="7" tint="0.59999389629810485"/>
            </bottom>
            <vertical/>
            <horizontal/>
          </border>
        </dxf>
        <dxf>
          <font>
            <color theme="0"/>
          </font>
          <fill>
            <patternFill patternType="solid">
              <fgColor theme="7"/>
              <bgColor theme="7"/>
            </patternFill>
          </fill>
          <border>
            <left style="thin">
              <color theme="7"/>
            </left>
            <right style="thin">
              <color theme="7"/>
            </right>
            <top style="thin">
              <color theme="7"/>
            </top>
            <bottom style="thin">
              <color theme="7"/>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theme="7" tint="0.39994506668294322"/>
            </patternFill>
          </fill>
          <border>
            <left style="thin">
              <color rgb="FFC0C0C0"/>
            </left>
            <right style="thin">
              <color rgb="FFC0C0C0"/>
            </right>
            <top style="thin">
              <color rgb="FFC0C0C0"/>
            </top>
            <bottom style="thin">
              <color rgb="FFC0C0C0"/>
            </bottom>
            <vertical/>
            <horizontal/>
          </border>
        </dxf>
        <dxf>
          <font>
            <color rgb="FF000000"/>
          </font>
          <fill>
            <patternFill patternType="solid">
              <fgColor theme="7" tint="0.79998168889431442"/>
              <bgColor theme="7" tint="0.79998168889431442"/>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theme="7" tint="0.79998168889431442"/>
              <bgColor theme="7" tint="0.79998168889431442"/>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theme="7" tint="0.79998168889431442"/>
              <bgColor theme="7" tint="0.79998168889431442"/>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theme="7" tint="0.79998168889431442"/>
              <bgColor theme="7" tint="0.79998168889431442"/>
            </patternFill>
          </fill>
          <border>
            <left style="thin">
              <color rgb="FF999999"/>
            </left>
            <right style="thin">
              <color rgb="FF999999"/>
            </right>
            <top style="thin">
              <color rgb="FF999999"/>
            </top>
            <bottom style="thin">
              <color rgb="FF999999"/>
            </bottom>
            <vertical/>
            <horizontal/>
          </border>
        </dxf>
        <dxf>
          <font>
            <color theme="7" tint="-0.249977111117893"/>
          </font>
          <fill>
            <patternFill patternType="solid">
              <fgColor theme="7" tint="0.59999389629810485"/>
              <bgColor theme="0" tint="-0.24994659260841701"/>
            </patternFill>
          </fill>
          <border>
            <left style="thin">
              <color theme="7" tint="0.59999389629810485"/>
            </left>
            <right style="thin">
              <color theme="7" tint="0.59999389629810485"/>
            </right>
            <top style="thin">
              <color theme="7" tint="0.59999389629810485"/>
            </top>
            <bottom style="thin">
              <color theme="7" tint="0.59999389629810485"/>
            </bottom>
            <vertical/>
            <horizontal/>
          </border>
        </dxf>
        <dxf>
          <font>
            <color theme="0"/>
          </font>
          <fill>
            <patternFill patternType="solid">
              <fgColor theme="7"/>
              <bgColor theme="7"/>
            </patternFill>
          </fill>
          <border>
            <left style="thin">
              <color theme="7"/>
            </left>
            <right style="thin">
              <color theme="7"/>
            </right>
            <top style="thin">
              <color theme="7"/>
            </top>
            <bottom style="thin">
              <color theme="7"/>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patternFill patternType="solid">
              <fgColor theme="7" tint="0.79998168889431442"/>
              <bgColor theme="7" tint="0.79998168889431442"/>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theme="7" tint="0.79998168889431442"/>
              <bgColor theme="7" tint="0.79998168889431442"/>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theme="7" tint="0.79998168889431442"/>
              <bgColor theme="7" tint="0.79998168889431442"/>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theme="7" tint="0.79998168889431442"/>
              <bgColor theme="7" tint="0.79998168889431442"/>
            </patternFill>
          </fill>
          <border>
            <left style="thin">
              <color rgb="FF999999"/>
            </left>
            <right style="thin">
              <color rgb="FF999999"/>
            </right>
            <top style="thin">
              <color rgb="FF999999"/>
            </top>
            <bottom style="thin">
              <color rgb="FF999999"/>
            </bottom>
            <vertical/>
            <horizontal/>
          </border>
        </dxf>
        <dxf>
          <font>
            <color theme="7" tint="-0.249977111117893"/>
          </font>
          <fill>
            <patternFill patternType="solid">
              <fgColor theme="7" tint="0.59999389629810485"/>
              <bgColor theme="7" tint="0.59999389629810485"/>
            </patternFill>
          </fill>
          <border>
            <left style="thin">
              <color theme="7" tint="0.59999389629810485"/>
            </left>
            <right style="thin">
              <color theme="7" tint="0.59999389629810485"/>
            </right>
            <top style="thin">
              <color theme="7" tint="0.59999389629810485"/>
            </top>
            <bottom style="thin">
              <color theme="7" tint="0.59999389629810485"/>
            </bottom>
            <vertical/>
            <horizontal/>
          </border>
        </dxf>
        <dxf>
          <font>
            <color theme="0"/>
          </font>
          <fill>
            <patternFill patternType="solid">
              <fgColor theme="7"/>
              <bgColor theme="7"/>
            </patternFill>
          </fill>
          <border>
            <left style="thin">
              <color theme="7"/>
            </left>
            <right style="thin">
              <color theme="7"/>
            </right>
            <top style="thin">
              <color theme="7"/>
            </top>
            <bottom style="thin">
              <color theme="7"/>
            </bottom>
            <vertical/>
            <horizontal/>
          </border>
        </dxf>
        <dxf>
          <font>
            <color rgb="FF959595"/>
          </font>
          <fill>
            <patternFill patternType="solid">
              <fgColor rgb="FFDFDFDF"/>
              <bgColor theme="7" tint="0.79998168889431442"/>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patternFill patternType="solid">
              <fgColor theme="7" tint="0.79998168889431442"/>
              <bgColor theme="7" tint="0.79998168889431442"/>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theme="7" tint="0.79998168889431442"/>
              <bgColor theme="7" tint="0.79998168889431442"/>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theme="7" tint="0.79998168889431442"/>
              <bgColor theme="7" tint="0.79998168889431442"/>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theme="7" tint="0.79998168889431442"/>
              <bgColor theme="7" tint="0.79998168889431442"/>
            </patternFill>
          </fill>
          <border>
            <left style="thin">
              <color rgb="FF999999"/>
            </left>
            <right style="thin">
              <color rgb="FF999999"/>
            </right>
            <top style="thin">
              <color rgb="FF999999"/>
            </top>
            <bottom style="thin">
              <color rgb="FF999999"/>
            </bottom>
            <vertical/>
            <horizontal/>
          </border>
        </dxf>
        <dxf>
          <font>
            <color theme="7" tint="-0.249977111117893"/>
          </font>
          <fill>
            <patternFill patternType="solid">
              <fgColor theme="7" tint="0.59999389629810485"/>
              <bgColor theme="7" tint="0.59999389629810485"/>
            </patternFill>
          </fill>
          <border>
            <left style="thin">
              <color theme="7" tint="0.59999389629810485"/>
            </left>
            <right style="thin">
              <color theme="7" tint="0.59999389629810485"/>
            </right>
            <top style="thin">
              <color theme="7" tint="0.59999389629810485"/>
            </top>
            <bottom style="thin">
              <color theme="7" tint="0.59999389629810485"/>
            </bottom>
            <vertical/>
            <horizontal/>
          </border>
        </dxf>
        <dxf>
          <font>
            <color theme="0"/>
          </font>
          <fill>
            <patternFill patternType="solid">
              <fgColor theme="7"/>
              <bgColor theme="7"/>
            </patternFill>
          </fill>
          <border>
            <left style="thin">
              <color theme="7"/>
            </left>
            <right style="thin">
              <color theme="7"/>
            </right>
            <top style="thin">
              <color theme="7"/>
            </top>
            <bottom style="thin">
              <color theme="7"/>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patternFill patternType="solid">
              <fgColor theme="7" tint="0.79998168889431442"/>
              <bgColor theme="7" tint="0.79998168889431442"/>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theme="7" tint="0.79998168889431442"/>
              <bgColor theme="7" tint="0.79998168889431442"/>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theme="7" tint="0.79998168889431442"/>
              <bgColor theme="7" tint="0.79998168889431442"/>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theme="7" tint="0.79998168889431442"/>
              <bgColor theme="7" tint="0.79998168889431442"/>
            </patternFill>
          </fill>
          <border>
            <left style="thin">
              <color rgb="FF999999"/>
            </left>
            <right style="thin">
              <color rgb="FF999999"/>
            </right>
            <top style="thin">
              <color rgb="FF999999"/>
            </top>
            <bottom style="thin">
              <color rgb="FF999999"/>
            </bottom>
            <vertical/>
            <horizontal/>
          </border>
        </dxf>
        <dxf>
          <font>
            <color theme="7" tint="-0.249977111117893"/>
          </font>
          <fill>
            <patternFill patternType="solid">
              <fgColor theme="7" tint="0.59999389629810485"/>
              <bgColor theme="7" tint="0.59999389629810485"/>
            </patternFill>
          </fill>
          <border>
            <left style="thin">
              <color theme="7" tint="0.59999389629810485"/>
            </left>
            <right style="thin">
              <color theme="7" tint="0.59999389629810485"/>
            </right>
            <top style="thin">
              <color theme="7" tint="0.59999389629810485"/>
            </top>
            <bottom style="thin">
              <color theme="7" tint="0.59999389629810485"/>
            </bottom>
            <vertical/>
            <horizontal/>
          </border>
        </dxf>
        <dxf>
          <font>
            <color theme="0"/>
          </font>
          <fill>
            <patternFill patternType="solid">
              <fgColor theme="7"/>
              <bgColor theme="7"/>
            </patternFill>
          </fill>
          <border>
            <left style="thin">
              <color theme="7"/>
            </left>
            <right style="thin">
              <color theme="7"/>
            </right>
            <top style="thin">
              <color theme="7"/>
            </top>
            <bottom style="thin">
              <color theme="7"/>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patternFill patternType="solid">
              <fgColor theme="7" tint="0.79998168889431442"/>
              <bgColor theme="7" tint="0.79998168889431442"/>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theme="7" tint="0.79998168889431442"/>
              <bgColor theme="7" tint="0.79998168889431442"/>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theme="7" tint="0.79998168889431442"/>
              <bgColor theme="7" tint="0.79998168889431442"/>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theme="7" tint="0.79998168889431442"/>
              <bgColor theme="7" tint="0.79998168889431442"/>
            </patternFill>
          </fill>
          <border>
            <left style="thin">
              <color rgb="FF999999"/>
            </left>
            <right style="thin">
              <color rgb="FF999999"/>
            </right>
            <top style="thin">
              <color rgb="FF999999"/>
            </top>
            <bottom style="thin">
              <color rgb="FF999999"/>
            </bottom>
            <vertical/>
            <horizontal/>
          </border>
        </dxf>
        <dxf>
          <font>
            <color theme="7" tint="-0.249977111117893"/>
          </font>
          <fill>
            <patternFill patternType="solid">
              <fgColor theme="7" tint="0.59999389629810485"/>
              <bgColor theme="7" tint="0.59999389629810485"/>
            </patternFill>
          </fill>
          <border>
            <left style="thin">
              <color theme="7" tint="0.59999389629810485"/>
            </left>
            <right style="thin">
              <color theme="7" tint="0.59999389629810485"/>
            </right>
            <top style="thin">
              <color theme="7" tint="0.59999389629810485"/>
            </top>
            <bottom style="thin">
              <color theme="7" tint="0.59999389629810485"/>
            </bottom>
            <vertical/>
            <horizontal/>
          </border>
        </dxf>
        <dxf>
          <font>
            <color theme="0"/>
          </font>
          <fill>
            <patternFill patternType="solid">
              <fgColor theme="7"/>
              <bgColor theme="0" tint="-0.24994659260841701"/>
            </patternFill>
          </fill>
          <border>
            <left style="thin">
              <color theme="7"/>
            </left>
            <right style="thin">
              <color theme="7"/>
            </right>
            <top style="thin">
              <color theme="7"/>
            </top>
            <bottom style="thin">
              <color theme="7"/>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patternFill patternType="solid">
              <fgColor theme="7" tint="0.79998168889431442"/>
              <bgColor theme="7" tint="0.79998168889431442"/>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theme="7" tint="0.79998168889431442"/>
              <bgColor theme="7" tint="0.79998168889431442"/>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theme="7" tint="0.79998168889431442"/>
              <bgColor theme="7" tint="0.79998168889431442"/>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theme="7" tint="0.79998168889431442"/>
              <bgColor theme="7" tint="0.79998168889431442"/>
            </patternFill>
          </fill>
          <border>
            <left style="thin">
              <color rgb="FF999999"/>
            </left>
            <right style="thin">
              <color rgb="FF999999"/>
            </right>
            <top style="thin">
              <color rgb="FF999999"/>
            </top>
            <bottom style="thin">
              <color rgb="FF999999"/>
            </bottom>
            <vertical/>
            <horizontal/>
          </border>
        </dxf>
        <dxf>
          <font>
            <color theme="7" tint="-0.249977111117893"/>
          </font>
          <fill>
            <patternFill patternType="solid">
              <fgColor theme="7" tint="0.59999389629810485"/>
              <bgColor theme="7" tint="0.59999389629810485"/>
            </patternFill>
          </fill>
          <border>
            <left style="thin">
              <color theme="7" tint="0.59999389629810485"/>
            </left>
            <right style="thin">
              <color theme="7" tint="0.59999389629810485"/>
            </right>
            <top style="thin">
              <color theme="7" tint="0.59999389629810485"/>
            </top>
            <bottom style="thin">
              <color theme="7" tint="0.59999389629810485"/>
            </bottom>
            <vertical/>
            <horizontal/>
          </border>
        </dxf>
        <dxf>
          <font>
            <color theme="0"/>
          </font>
          <fill>
            <patternFill patternType="solid">
              <fgColor theme="7"/>
              <bgColor theme="7"/>
            </patternFill>
          </fill>
          <border>
            <left style="thin">
              <color theme="7"/>
            </left>
            <right style="thin">
              <color theme="7"/>
            </right>
            <top style="thin">
              <color theme="7"/>
            </top>
            <bottom style="thin">
              <color theme="7"/>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patternFill patternType="solid">
              <fgColor auto="1"/>
              <bgColor theme="7" tint="0.79998168889431442"/>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7" tint="0.79998168889431442"/>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7" tint="0.79998168889431442"/>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7" tint="0.79998168889431442"/>
            </patternFill>
          </fill>
          <border>
            <left style="thin">
              <color rgb="FF999999"/>
            </left>
            <right style="thin">
              <color rgb="FF999999"/>
            </right>
            <top style="thin">
              <color rgb="FF999999"/>
            </top>
            <bottom style="thin">
              <color rgb="FF999999"/>
            </bottom>
            <vertical/>
            <horizontal/>
          </border>
        </dxf>
        <dxf>
          <font>
            <color theme="7" tint="-0.249977111117893"/>
          </font>
          <fill>
            <patternFill patternType="solid">
              <fgColor theme="7" tint="0.59999389629810485"/>
              <bgColor theme="7" tint="0.59999389629810485"/>
            </patternFill>
          </fill>
          <border>
            <left style="thin">
              <color theme="7" tint="0.59999389629810485"/>
            </left>
            <right style="thin">
              <color theme="7" tint="0.59999389629810485"/>
            </right>
            <top style="thin">
              <color theme="7" tint="0.59999389629810485"/>
            </top>
            <bottom style="thin">
              <color theme="7" tint="0.59999389629810485"/>
            </bottom>
            <vertical/>
            <horizontal/>
          </border>
        </dxf>
        <dxf>
          <font>
            <color theme="0"/>
          </font>
          <fill>
            <patternFill patternType="solid">
              <fgColor theme="7"/>
              <bgColor theme="7"/>
            </patternFill>
          </fill>
          <border>
            <left style="thin">
              <color theme="7"/>
            </left>
            <right style="thin">
              <color theme="7"/>
            </right>
            <top style="thin">
              <color theme="7"/>
            </top>
            <bottom style="thin">
              <color theme="7"/>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7" tint="0.79998168889431442"/>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7" tint="-0.249977111117893"/>
          </font>
          <fill>
            <patternFill patternType="solid">
              <fgColor theme="7" tint="0.59999389629810485"/>
              <bgColor theme="7" tint="0.59999389629810485"/>
            </patternFill>
          </fill>
          <border>
            <left style="thin">
              <color theme="7" tint="0.59999389629810485"/>
            </left>
            <right style="thin">
              <color theme="7" tint="0.59999389629810485"/>
            </right>
            <top style="thin">
              <color theme="7" tint="0.59999389629810485"/>
            </top>
            <bottom style="thin">
              <color theme="7" tint="0.59999389629810485"/>
            </bottom>
            <vertical/>
            <horizontal/>
          </border>
        </dxf>
        <dxf>
          <font>
            <color theme="0"/>
          </font>
          <fill>
            <patternFill patternType="solid">
              <fgColor theme="7"/>
              <bgColor theme="7"/>
            </patternFill>
          </fill>
          <border>
            <left style="thin">
              <color theme="7"/>
            </left>
            <right style="thin">
              <color theme="7"/>
            </right>
            <top style="thin">
              <color theme="7"/>
            </top>
            <bottom style="thin">
              <color theme="7"/>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7" tint="-0.249977111117893"/>
          </font>
          <fill>
            <patternFill patternType="solid">
              <fgColor theme="7" tint="0.59999389629810485"/>
              <bgColor theme="7" tint="0.59999389629810485"/>
            </patternFill>
          </fill>
          <border>
            <left style="thin">
              <color theme="7" tint="0.59999389629810485"/>
            </left>
            <right style="thin">
              <color theme="7" tint="0.59999389629810485"/>
            </right>
            <top style="thin">
              <color theme="7" tint="0.59999389629810485"/>
            </top>
            <bottom style="thin">
              <color theme="7" tint="0.59999389629810485"/>
            </bottom>
            <vertical/>
            <horizontal/>
          </border>
        </dxf>
        <dxf>
          <font>
            <b/>
            <i val="0"/>
            <color theme="0"/>
            <name val="Calibri"/>
            <family val="2"/>
            <scheme val="minor"/>
          </font>
          <fill>
            <patternFill patternType="solid">
              <fgColor theme="7"/>
              <bgColor theme="7"/>
            </patternFill>
          </fill>
          <border>
            <left style="thin">
              <color theme="7"/>
            </left>
            <right style="thin">
              <color theme="7"/>
            </right>
            <top style="thin">
              <color theme="7"/>
            </top>
            <bottom style="thin">
              <color theme="7"/>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theme="0" tint="-0.14996795556505021"/>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7" tint="-0.249977111117893"/>
          </font>
          <fill>
            <patternFill patternType="solid">
              <fgColor theme="7" tint="0.59999389629810485"/>
              <bgColor theme="7" tint="0.59999389629810485"/>
            </patternFill>
          </fill>
          <border>
            <left style="thin">
              <color theme="7" tint="0.59999389629810485"/>
            </left>
            <right style="thin">
              <color theme="7" tint="0.59999389629810485"/>
            </right>
            <top style="thin">
              <color theme="7" tint="0.59999389629810485"/>
            </top>
            <bottom style="thin">
              <color theme="7" tint="0.59999389629810485"/>
            </bottom>
            <vertical/>
            <horizontal/>
          </border>
        </dxf>
        <dxf>
          <font>
            <color theme="0"/>
          </font>
          <fill>
            <patternFill patternType="solid">
              <fgColor theme="7"/>
              <bgColor theme="7"/>
            </patternFill>
          </fill>
          <border>
            <left style="thin">
              <color theme="7"/>
            </left>
            <right style="thin">
              <color theme="7"/>
            </right>
            <top style="thin">
              <color theme="7"/>
            </top>
            <bottom style="thin">
              <color theme="7"/>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patternFill patternType="solid">
              <fgColor auto="1"/>
              <bgColor theme="7" tint="0.79998168889431442"/>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7" tint="0.79998168889431442"/>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7" tint="0.79998168889431442"/>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7" tint="0.79998168889431442"/>
            </patternFill>
          </fill>
          <border>
            <left style="thin">
              <color rgb="FF999999"/>
            </left>
            <right style="thin">
              <color rgb="FF999999"/>
            </right>
            <top style="thin">
              <color rgb="FF999999"/>
            </top>
            <bottom style="thin">
              <color rgb="FF999999"/>
            </bottom>
            <vertical/>
            <horizontal/>
          </border>
        </dxf>
        <dxf>
          <font>
            <color theme="7" tint="-0.249977111117893"/>
          </font>
          <fill>
            <patternFill patternType="solid">
              <fgColor theme="7" tint="0.59999389629810485"/>
              <bgColor theme="7" tint="0.59999389629810485"/>
            </patternFill>
          </fill>
          <border>
            <left style="thin">
              <color theme="7" tint="0.59999389629810485"/>
            </left>
            <right style="thin">
              <color theme="7" tint="0.59999389629810485"/>
            </right>
            <top style="thin">
              <color theme="7" tint="0.59999389629810485"/>
            </top>
            <bottom style="thin">
              <color theme="7" tint="0.59999389629810485"/>
            </bottom>
            <vertical/>
            <horizontal/>
          </border>
        </dxf>
        <dxf>
          <font>
            <color theme="0"/>
          </font>
          <fill>
            <patternFill patternType="solid">
              <fgColor theme="7"/>
              <bgColor theme="7"/>
            </patternFill>
          </fill>
          <border>
            <left style="thin">
              <color theme="7"/>
            </left>
            <right style="thin">
              <color theme="7"/>
            </right>
            <top style="thin">
              <color theme="7"/>
            </top>
            <bottom style="thin">
              <color theme="7"/>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patternFill patternType="solid">
              <fgColor theme="7" tint="0.79998168889431442"/>
              <bgColor theme="7" tint="0.79998168889431442"/>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theme="7" tint="0.79998168889431442"/>
              <bgColor theme="7" tint="0.79998168889431442"/>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theme="7" tint="0.79998168889431442"/>
              <bgColor theme="7" tint="0.79998168889431442"/>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theme="7" tint="0.79998168889431442"/>
              <bgColor theme="7" tint="0.79998168889431442"/>
            </patternFill>
          </fill>
          <border>
            <left style="thin">
              <color rgb="FF999999"/>
            </left>
            <right style="thin">
              <color rgb="FF999999"/>
            </right>
            <top style="thin">
              <color rgb="FF999999"/>
            </top>
            <bottom style="thin">
              <color rgb="FF999999"/>
            </bottom>
            <vertical/>
            <horizontal/>
          </border>
        </dxf>
        <dxf>
          <font>
            <color theme="7" tint="-0.249977111117893"/>
          </font>
          <fill>
            <patternFill patternType="solid">
              <fgColor theme="7" tint="0.59999389629810485"/>
              <bgColor theme="7" tint="0.59999389629810485"/>
            </patternFill>
          </fill>
          <border>
            <left style="thin">
              <color theme="7" tint="0.59999389629810485"/>
            </left>
            <right style="thin">
              <color theme="7" tint="0.59999389629810485"/>
            </right>
            <top style="thin">
              <color theme="7" tint="0.59999389629810485"/>
            </top>
            <bottom style="thin">
              <color theme="7" tint="0.59999389629810485"/>
            </bottom>
            <vertical/>
            <horizontal/>
          </border>
        </dxf>
        <dxf>
          <font>
            <color theme="0"/>
          </font>
          <fill>
            <patternFill patternType="solid">
              <fgColor theme="7"/>
              <bgColor theme="7"/>
            </patternFill>
          </fill>
          <border>
            <left style="thin">
              <color theme="7"/>
            </left>
            <right style="thin">
              <color theme="7"/>
            </right>
            <top style="thin">
              <color theme="7"/>
            </top>
            <bottom style="thin">
              <color theme="7"/>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patternFill patternType="solid">
              <fgColor theme="7" tint="0.79998168889431442"/>
              <bgColor theme="7" tint="0.79998168889431442"/>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theme="7" tint="0.79998168889431442"/>
              <bgColor theme="7" tint="0.79998168889431442"/>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theme="7" tint="0.79998168889431442"/>
              <bgColor theme="7" tint="0.79998168889431442"/>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theme="7" tint="0.79998168889431442"/>
              <bgColor theme="7" tint="0.79998168889431442"/>
            </patternFill>
          </fill>
          <border>
            <left style="thin">
              <color rgb="FF999999"/>
            </left>
            <right style="thin">
              <color rgb="FF999999"/>
            </right>
            <top style="thin">
              <color rgb="FF999999"/>
            </top>
            <bottom style="thin">
              <color rgb="FF999999"/>
            </bottom>
            <vertical/>
            <horizontal/>
          </border>
        </dxf>
        <dxf>
          <font>
            <color theme="7" tint="-0.249977111117893"/>
          </font>
          <fill>
            <patternFill patternType="solid">
              <fgColor theme="7" tint="0.59999389629810485"/>
              <bgColor theme="7" tint="0.59999389629810485"/>
            </patternFill>
          </fill>
          <border>
            <left style="thin">
              <color theme="7" tint="0.59999389629810485"/>
            </left>
            <right style="thin">
              <color theme="7" tint="0.59999389629810485"/>
            </right>
            <top style="thin">
              <color theme="7" tint="0.59999389629810485"/>
            </top>
            <bottom style="thin">
              <color theme="7" tint="0.59999389629810485"/>
            </bottom>
            <vertical/>
            <horizontal/>
          </border>
        </dxf>
        <dxf>
          <font>
            <color theme="0"/>
          </font>
          <fill>
            <patternFill patternType="solid">
              <fgColor theme="7"/>
              <bgColor theme="7"/>
            </patternFill>
          </fill>
          <border>
            <left style="thin">
              <color theme="7"/>
            </left>
            <right style="thin">
              <color theme="7"/>
            </right>
            <top style="thin">
              <color theme="7"/>
            </top>
            <bottom style="thin">
              <color theme="7"/>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7" tint="-0.249977111117893"/>
          </font>
          <fill>
            <patternFill patternType="solid">
              <fgColor theme="7" tint="0.59999389629810485"/>
              <bgColor theme="7" tint="0.59999389629810485"/>
            </patternFill>
          </fill>
          <border>
            <left style="thin">
              <color theme="7" tint="0.59999389629810485"/>
            </left>
            <right style="thin">
              <color theme="7" tint="0.59999389629810485"/>
            </right>
            <top style="thin">
              <color theme="7" tint="0.59999389629810485"/>
            </top>
            <bottom style="thin">
              <color theme="7" tint="0.59999389629810485"/>
            </bottom>
            <vertical/>
            <horizontal/>
          </border>
        </dxf>
        <dxf>
          <font>
            <color theme="0"/>
          </font>
          <fill>
            <patternFill patternType="solid">
              <fgColor theme="7"/>
              <bgColor theme="7"/>
            </patternFill>
          </fill>
          <border>
            <left style="thin">
              <color theme="7"/>
            </left>
            <right style="thin">
              <color theme="7"/>
            </right>
            <top style="thin">
              <color theme="7"/>
            </top>
            <bottom style="thin">
              <color theme="7"/>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Dark4 2 2">
        <x14:slicerStyle name="SlicerStyleDark4 2">
          <x14:slicerStyleElements>
            <x14:slicerStyleElement type="unselectedItemWithData" dxfId="151"/>
            <x14:slicerStyleElement type="unselectedItemWithNoData" dxfId="150"/>
            <x14:slicerStyleElement type="selectedItemWithData" dxfId="149"/>
            <x14:slicerStyleElement type="selectedItemWithNoData" dxfId="148"/>
            <x14:slicerStyleElement type="hoveredUnselectedItemWithData" dxfId="147"/>
            <x14:slicerStyleElement type="hoveredSelectedItemWithData" dxfId="146"/>
            <x14:slicerStyleElement type="hoveredUnselectedItemWithNoData" dxfId="145"/>
            <x14:slicerStyleElement type="hoveredSelectedItemWithNoData" dxfId="144"/>
          </x14:slicerStyleElements>
        </x14:slicerStyle>
        <x14:slicerStyle name="SlicerStyleDark4 2 2">
          <x14:slicerStyleElements>
            <x14:slicerStyleElement type="unselectedItemWithData" dxfId="143"/>
            <x14:slicerStyleElement type="unselectedItemWithNoData" dxfId="142"/>
            <x14:slicerStyleElement type="selectedItemWithData" dxfId="141"/>
            <x14:slicerStyleElement type="selectedItemWithNoData" dxfId="140"/>
            <x14:slicerStyleElement type="hoveredUnselectedItemWithData" dxfId="139"/>
            <x14:slicerStyleElement type="hoveredSelectedItemWithData" dxfId="138"/>
            <x14:slicerStyleElement type="hoveredUnselectedItemWithNoData" dxfId="137"/>
            <x14:slicerStyleElement type="hoveredSelectedItemWithNoData" dxfId="136"/>
          </x14:slicerStyleElements>
        </x14:slicerStyle>
        <x14:slicerStyle name="SlicerStyleDark4 2 2 2">
          <x14:slicerStyleElements>
            <x14:slicerStyleElement type="unselectedItemWithData" dxfId="135"/>
            <x14:slicerStyleElement type="unselectedItemWithNoData" dxfId="134"/>
            <x14:slicerStyleElement type="selectedItemWithData" dxfId="133"/>
            <x14:slicerStyleElement type="selectedItemWithNoData" dxfId="132"/>
            <x14:slicerStyleElement type="hoveredUnselectedItemWithData" dxfId="131"/>
            <x14:slicerStyleElement type="hoveredSelectedItemWithData" dxfId="130"/>
            <x14:slicerStyleElement type="hoveredUnselectedItemWithNoData" dxfId="129"/>
            <x14:slicerStyleElement type="hoveredSelectedItemWithNoData" dxfId="128"/>
          </x14:slicerStyleElements>
        </x14:slicerStyle>
        <x14:slicerStyle name="SlicerStyleDark4 2 3">
          <x14:slicerStyleElements>
            <x14:slicerStyleElement type="unselectedItemWithData" dxfId="127"/>
            <x14:slicerStyleElement type="unselectedItemWithNoData" dxfId="126"/>
            <x14:slicerStyleElement type="selectedItemWithData" dxfId="125"/>
            <x14:slicerStyleElement type="selectedItemWithNoData" dxfId="124"/>
            <x14:slicerStyleElement type="hoveredUnselectedItemWithData" dxfId="123"/>
            <x14:slicerStyleElement type="hoveredSelectedItemWithData" dxfId="122"/>
            <x14:slicerStyleElement type="hoveredUnselectedItemWithNoData" dxfId="121"/>
            <x14:slicerStyleElement type="hoveredSelectedItemWithNoData" dxfId="120"/>
          </x14:slicerStyleElements>
        </x14:slicerStyle>
        <x14:slicerStyle name="SlicerStyleDark4 2 4">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4 2 5">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SlicerStyleDark4 3">
          <x14:slicerStyleElements>
            <x14:slicerStyleElement type="unselectedItemWithData" dxfId="119"/>
            <x14:slicerStyleElement type="unselectedItemWithNoData" dxfId="118"/>
            <x14:slicerStyleElement type="selectedItemWithData" dxfId="117"/>
            <x14:slicerStyleElement type="selectedItemWithNoData" dxfId="116"/>
            <x14:slicerStyleElement type="hoveredUnselectedItemWithData" dxfId="115"/>
            <x14:slicerStyleElement type="hoveredSelectedItemWithData" dxfId="114"/>
            <x14:slicerStyleElement type="hoveredUnselectedItemWithNoData" dxfId="113"/>
            <x14:slicerStyleElement type="hoveredSelectedItemWithNoData" dxfId="112"/>
          </x14:slicerStyleElements>
        </x14:slicerStyle>
        <x14:slicerStyle name="SlicerStyleDark4 4">
          <x14:slicerStyleElements>
            <x14:slicerStyleElement type="unselectedItemWithData" dxfId="111"/>
            <x14:slicerStyleElement type="unselectedItemWithNoData" dxfId="110"/>
            <x14:slicerStyleElement type="selectedItemWithData" dxfId="109"/>
            <x14:slicerStyleElement type="selectedItemWithNoData" dxfId="108"/>
            <x14:slicerStyleElement type="hoveredUnselectedItemWithData" dxfId="107"/>
            <x14:slicerStyleElement type="hoveredSelectedItemWithData" dxfId="106"/>
            <x14:slicerStyleElement type="hoveredUnselectedItemWithNoData" dxfId="105"/>
            <x14:slicerStyleElement type="hoveredSelectedItemWithNoData" dxfId="104"/>
          </x14:slicerStyleElements>
        </x14:slicerStyle>
        <x14:slicerStyle name="SlicerStyleDark4 5">
          <x14:slicerStyleElements>
            <x14:slicerStyleElement type="unselectedItemWithData" dxfId="103"/>
            <x14:slicerStyleElement type="unselectedItemWithNoData" dxfId="102"/>
            <x14:slicerStyleElement type="selectedItemWithData" dxfId="101"/>
            <x14:slicerStyleElement type="selectedItemWithNoData" dxfId="100"/>
            <x14:slicerStyleElement type="hoveredUnselectedItemWithData" dxfId="99"/>
            <x14:slicerStyleElement type="hoveredSelectedItemWithData" dxfId="98"/>
            <x14:slicerStyleElement type="hoveredUnselectedItemWithNoData" dxfId="97"/>
            <x14:slicerStyleElement type="hoveredSelectedItemWithNoData" dxfId="96"/>
          </x14:slicerStyleElements>
        </x14:slicerStyle>
        <x14:slicerStyle name="SlicerStyleDark4 6">
          <x14:slicerStyleElements>
            <x14:slicerStyleElement type="unselectedItemWithData" dxfId="95"/>
            <x14:slicerStyleElement type="unselectedItemWithNoData" dxfId="94"/>
            <x14:slicerStyleElement type="selectedItemWithData" dxfId="93"/>
            <x14:slicerStyleElement type="selectedItemWithNoData" dxfId="92"/>
            <x14:slicerStyleElement type="hoveredUnselectedItemWithData" dxfId="91"/>
            <x14:slicerStyleElement type="hoveredSelectedItemWithData" dxfId="90"/>
            <x14:slicerStyleElement type="hoveredUnselectedItemWithNoData" dxfId="89"/>
            <x14:slicerStyleElement type="hoveredSelectedItemWithNoData" dxfId="88"/>
          </x14:slicerStyleElements>
        </x14:slicerStyle>
        <x14:slicerStyle name="SlicerStyleDark4 7">
          <x14:slicerStyleElements>
            <x14:slicerStyleElement type="unselectedItemWithData" dxfId="87"/>
            <x14:slicerStyleElement type="unselectedItemWithNoData" dxfId="86"/>
            <x14:slicerStyleElement type="selectedItemWithData" dxfId="85"/>
            <x14:slicerStyleElement type="selectedItemWithNoData" dxfId="84"/>
            <x14:slicerStyleElement type="hoveredUnselectedItemWithData" dxfId="83"/>
            <x14:slicerStyleElement type="hoveredSelectedItemWithData" dxfId="82"/>
            <x14:slicerStyleElement type="hoveredUnselectedItemWithNoData" dxfId="81"/>
            <x14:slicerStyleElement type="hoveredSelectedItemWithNoData" dxfId="80"/>
          </x14:slicerStyleElements>
        </x14:slicerStyle>
        <x14:slicerStyle name="SlicerStyleDark4 7 2">
          <x14:slicerStyleElements>
            <x14:slicerStyleElement type="unselectedItemWithData" dxfId="79"/>
            <x14:slicerStyleElement type="unselectedItemWithNoData" dxfId="78"/>
            <x14:slicerStyleElement type="selectedItemWithData" dxfId="77"/>
            <x14:slicerStyleElement type="selectedItemWithNoData" dxfId="76"/>
            <x14:slicerStyleElement type="hoveredUnselectedItemWithData" dxfId="75"/>
            <x14:slicerStyleElement type="hoveredSelectedItemWithData" dxfId="74"/>
            <x14:slicerStyleElement type="hoveredUnselectedItemWithNoData" dxfId="73"/>
            <x14:slicerStyleElement type="hoveredSelectedItemWithNoData" dxfId="72"/>
          </x14:slicerStyleElements>
        </x14:slicerStyle>
        <x14:slicerStyle name="SlicerStyleDark4 7 3">
          <x14:slicerStyleElements>
            <x14:slicerStyleElement type="unselectedItemWithData" dxfId="71"/>
            <x14:slicerStyleElement type="unselectedItemWithNoData" dxfId="70"/>
            <x14:slicerStyleElement type="selectedItemWithData" dxfId="69"/>
            <x14:slicerStyleElement type="selectedItemWithNoData" dxfId="68"/>
            <x14:slicerStyleElement type="hoveredUnselectedItemWithData" dxfId="67"/>
            <x14:slicerStyleElement type="hoveredSelectedItemWithData" dxfId="66"/>
            <x14:slicerStyleElement type="hoveredUnselectedItemWithNoData" dxfId="65"/>
            <x14:slicerStyleElement type="hoveredSelectedItemWithNoData" dxfId="64"/>
          </x14:slicerStyleElements>
        </x14:slicerStyle>
        <x14:slicerStyle name="SlicerStyleDark4 7 4">
          <x14:slicerStyleElements>
            <x14:slicerStyleElement type="unselectedItemWithData" dxfId="63"/>
            <x14:slicerStyleElement type="unselectedItemWithNoData" dxfId="62"/>
            <x14:slicerStyleElement type="selectedItemWithData" dxfId="61"/>
            <x14:slicerStyleElement type="selectedItemWithNoData" dxfId="60"/>
            <x14:slicerStyleElement type="hoveredUnselectedItemWithData" dxfId="59"/>
            <x14:slicerStyleElement type="hoveredSelectedItemWithData" dxfId="58"/>
            <x14:slicerStyleElement type="hoveredUnselectedItemWithNoData" dxfId="57"/>
            <x14:slicerStyleElement type="hoveredSelectedItemWithNoData" dxfId="56"/>
          </x14:slicerStyleElements>
        </x14:slicerStyle>
        <x14:slicerStyle name="SlicerStyleDark4 7 5">
          <x14:slicerStyleElements>
            <x14:slicerStyleElement type="unselectedItemWithData" dxfId="55"/>
            <x14:slicerStyleElement type="unselectedItemWithNoData" dxfId="54"/>
            <x14:slicerStyleElement type="selectedItemWithData" dxfId="53"/>
            <x14:slicerStyleElement type="selectedItemWithNoData" dxfId="52"/>
            <x14:slicerStyleElement type="hoveredUnselectedItemWithData" dxfId="51"/>
            <x14:slicerStyleElement type="hoveredSelectedItemWithData" dxfId="50"/>
            <x14:slicerStyleElement type="hoveredUnselectedItemWithNoData" dxfId="49"/>
            <x14:slicerStyleElement type="hoveredSelectedItemWithNoData" dxfId="48"/>
          </x14:slicerStyleElements>
        </x14:slicerStyle>
        <x14:slicerStyle name="SlicerStyleDark4 7 6">
          <x14:slicerStyleElements>
            <x14:slicerStyleElement type="unselectedItemWithData" dxfId="47"/>
            <x14:slicerStyleElement type="unselectedItemWithNoData" dxfId="46"/>
            <x14:slicerStyleElement type="selectedItemWithData" dxfId="45"/>
            <x14:slicerStyleElement type="selectedItemWithNoData" dxfId="44"/>
            <x14:slicerStyleElement type="hoveredUnselectedItemWithData" dxfId="43"/>
            <x14:slicerStyleElement type="hoveredSelectedItemWithData" dxfId="42"/>
            <x14:slicerStyleElement type="hoveredUnselectedItemWithNoData" dxfId="41"/>
            <x14:slicerStyleElement type="hoveredSelectedItemWithNoData" dxfId="40"/>
          </x14:slicerStyleElements>
        </x14:slicerStyle>
        <x14:slicerStyle name="SlicerStyleDark4 7 7">
          <x14:slicerStyleElements>
            <x14:slicerStyleElement type="unselectedItemWithData" dxfId="39"/>
            <x14:slicerStyleElement type="unselectedItemWithNoData" dxfId="38"/>
            <x14:slicerStyleElement type="selectedItemWithData" dxfId="37"/>
            <x14:slicerStyleElement type="selectedItemWithNoData" dxfId="36"/>
            <x14:slicerStyleElement type="hoveredUnselectedItemWithData" dxfId="35"/>
            <x14:slicerStyleElement type="hoveredSelectedItemWithData" dxfId="34"/>
            <x14:slicerStyleElement type="hoveredUnselectedItemWithNoData" dxfId="33"/>
            <x14:slicerStyleElement type="hoveredSelectedItemWithNoData" dxfId="32"/>
          </x14:slicerStyleElements>
        </x14:slicerStyle>
        <x14:slicerStyle name="SlicerStyleDark4 7 8">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Dark4 7 9">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connections" Target="connections.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[HR_Analytics_Dataset.xlsx]Pivots!Emp Department</c:name>
    <c:fmtId val="11"/>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1">
                <a:solidFill>
                  <a:schemeClr val="accent4">
                    <a:lumMod val="50000"/>
                  </a:schemeClr>
                </a:solidFill>
              </a:rPr>
              <a:t>Employees</a:t>
            </a:r>
            <a:r>
              <a:rPr lang="en-US" sz="1100" b="1" baseline="0">
                <a:solidFill>
                  <a:schemeClr val="accent4">
                    <a:lumMod val="50000"/>
                  </a:schemeClr>
                </a:solidFill>
              </a:rPr>
              <a:t> by Department</a:t>
            </a:r>
            <a:endParaRPr lang="en-US" sz="1100" b="1">
              <a:solidFill>
                <a:schemeClr val="accent4">
                  <a:lumMod val="50000"/>
                </a:schemeClr>
              </a:solidFill>
            </a:endParaRPr>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Pivots!$C$4</c:f>
              <c:strCache>
                <c:ptCount val="1"/>
                <c:pt idx="0">
                  <c:v>Total</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Pivots!$B$5:$B$11</c:f>
              <c:strCache>
                <c:ptCount val="6"/>
                <c:pt idx="0">
                  <c:v>Finance</c:v>
                </c:pt>
                <c:pt idx="1">
                  <c:v>Marketing</c:v>
                </c:pt>
                <c:pt idx="2">
                  <c:v>IT</c:v>
                </c:pt>
                <c:pt idx="3">
                  <c:v>HR</c:v>
                </c:pt>
                <c:pt idx="4">
                  <c:v>Operations</c:v>
                </c:pt>
                <c:pt idx="5">
                  <c:v>Sales</c:v>
                </c:pt>
              </c:strCache>
            </c:strRef>
          </c:cat>
          <c:val>
            <c:numRef>
              <c:f>Pivots!$C$5:$C$11</c:f>
              <c:numCache>
                <c:formatCode>General</c:formatCode>
                <c:ptCount val="6"/>
                <c:pt idx="0">
                  <c:v>188</c:v>
                </c:pt>
                <c:pt idx="1">
                  <c:v>171</c:v>
                </c:pt>
                <c:pt idx="2">
                  <c:v>169</c:v>
                </c:pt>
                <c:pt idx="3">
                  <c:v>164</c:v>
                </c:pt>
                <c:pt idx="4">
                  <c:v>155</c:v>
                </c:pt>
                <c:pt idx="5">
                  <c:v>153</c:v>
                </c:pt>
              </c:numCache>
            </c:numRef>
          </c:val>
          <c:extLst>
            <c:ext xmlns:c16="http://schemas.microsoft.com/office/drawing/2014/chart" uri="{C3380CC4-5D6E-409C-BE32-E72D297353CC}">
              <c16:uniqueId val="{00000000-7B5C-4898-AF23-FA98A6AA407A}"/>
            </c:ext>
          </c:extLst>
        </c:ser>
        <c:dLbls>
          <c:dLblPos val="outEnd"/>
          <c:showLegendKey val="0"/>
          <c:showVal val="1"/>
          <c:showCatName val="0"/>
          <c:showSerName val="0"/>
          <c:showPercent val="0"/>
          <c:showBubbleSize val="0"/>
        </c:dLbls>
        <c:gapWidth val="50"/>
        <c:overlap val="-16"/>
        <c:axId val="854378688"/>
        <c:axId val="854372928"/>
      </c:barChart>
      <c:catAx>
        <c:axId val="85437868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854372928"/>
        <c:crosses val="autoZero"/>
        <c:auto val="1"/>
        <c:lblAlgn val="ctr"/>
        <c:lblOffset val="100"/>
        <c:noMultiLvlLbl val="0"/>
      </c:catAx>
      <c:valAx>
        <c:axId val="85437292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4378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[HR_Analytics_Dataset.xlsx]Pivots!Gender Distribution</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100" b="1">
                <a:solidFill>
                  <a:schemeClr val="accent4">
                    <a:lumMod val="50000"/>
                  </a:schemeClr>
                </a:solidFill>
              </a:rPr>
              <a:t>Gender</a:t>
            </a:r>
            <a:r>
              <a:rPr lang="en-IN" sz="1100" b="1" baseline="0">
                <a:solidFill>
                  <a:schemeClr val="accent4">
                    <a:lumMod val="50000"/>
                  </a:schemeClr>
                </a:solidFill>
              </a:rPr>
              <a:t> Distribution</a:t>
            </a:r>
            <a:endParaRPr lang="en-IN" sz="1100" b="1">
              <a:solidFill>
                <a:schemeClr val="accent4">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lumMod val="75000"/>
            </a:schemeClr>
          </a:solidFill>
          <a:ln w="19050">
            <a:solidFill>
              <a:schemeClr val="lt1"/>
            </a:solidFill>
          </a:ln>
          <a:effectLst/>
        </c:spPr>
        <c:dLbl>
          <c:idx val="0"/>
          <c:layout>
            <c:manualLayout>
              <c:x val="-0.14644654319450268"/>
              <c:y val="-0.20417681046901587"/>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30412371134020616"/>
                  <c:h val="0.125"/>
                </c:manualLayout>
              </c15:layout>
            </c:ext>
          </c:extLst>
        </c:dLbl>
      </c:pivotFmt>
      <c:pivotFmt>
        <c:idx val="8"/>
        <c:spPr>
          <a:solidFill>
            <a:schemeClr val="accent4">
              <a:lumMod val="75000"/>
            </a:schemeClr>
          </a:solidFill>
          <a:ln w="19050">
            <a:solidFill>
              <a:schemeClr val="lt1"/>
            </a:solidFill>
          </a:ln>
          <a:effectLst/>
        </c:spPr>
        <c:dLbl>
          <c:idx val="0"/>
          <c:layout>
            <c:manualLayout>
              <c:x val="-0.1611254062202207"/>
              <c:y val="-7.5654806377729561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31615120274914088"/>
                  <c:h val="0.11842105263157894"/>
                </c:manualLayout>
              </c15:layout>
            </c:ext>
          </c:extLst>
        </c:dLbl>
      </c:pivotFmt>
    </c:pivotFmts>
    <c:plotArea>
      <c:layout>
        <c:manualLayout>
          <c:layoutTarget val="inner"/>
          <c:xMode val="edge"/>
          <c:yMode val="edge"/>
          <c:x val="0.22965500446464809"/>
          <c:y val="0.26450062163282223"/>
          <c:w val="0.39947668912519957"/>
          <c:h val="0.50985840585716258"/>
        </c:manualLayout>
      </c:layout>
      <c:pieChart>
        <c:varyColors val="0"/>
        <c:ser>
          <c:idx val="0"/>
          <c:order val="0"/>
          <c:tx>
            <c:strRef>
              <c:f>Pivots!$C$18</c:f>
              <c:strCache>
                <c:ptCount val="1"/>
                <c:pt idx="0">
                  <c:v>Total</c:v>
                </c:pt>
              </c:strCache>
            </c:strRef>
          </c:tx>
          <c:spPr>
            <a:solidFill>
              <a:schemeClr val="accent1"/>
            </a:solidFill>
            <a:ln w="19050">
              <a:solidFill>
                <a:schemeClr val="lt1"/>
              </a:solidFill>
            </a:ln>
            <a:effectLst/>
          </c:spPr>
          <c:dPt>
            <c:idx val="0"/>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1-D2AB-4A61-90D0-F4FFD4F5BD1F}"/>
              </c:ext>
            </c:extLst>
          </c:dPt>
          <c:dPt>
            <c:idx val="1"/>
            <c:bubble3D val="0"/>
            <c:spPr>
              <a:solidFill>
                <a:schemeClr val="accent4">
                  <a:lumMod val="75000"/>
                </a:schemeClr>
              </a:solidFill>
              <a:ln w="19050">
                <a:solidFill>
                  <a:schemeClr val="lt1"/>
                </a:solidFill>
              </a:ln>
              <a:effectLst/>
            </c:spPr>
            <c:extLst>
              <c:ext xmlns:c16="http://schemas.microsoft.com/office/drawing/2014/chart" uri="{C3380CC4-5D6E-409C-BE32-E72D297353CC}">
                <c16:uniqueId val="{00000003-D2AB-4A61-90D0-F4FFD4F5BD1F}"/>
              </c:ext>
            </c:extLst>
          </c:dPt>
          <c:dLbls>
            <c:dLbl>
              <c:idx val="0"/>
              <c:layout>
                <c:manualLayout>
                  <c:x val="-0.14644654319450268"/>
                  <c:y val="-0.20417681046901587"/>
                </c:manualLayout>
              </c:layout>
              <c:dLblPos val="bestFit"/>
              <c:showLegendKey val="0"/>
              <c:showVal val="1"/>
              <c:showCatName val="0"/>
              <c:showSerName val="0"/>
              <c:showPercent val="0"/>
              <c:showBubbleSize val="0"/>
              <c:extLst>
                <c:ext xmlns:c15="http://schemas.microsoft.com/office/drawing/2012/chart" uri="{CE6537A1-D6FC-4f65-9D91-7224C49458BB}">
                  <c15:layout>
                    <c:manualLayout>
                      <c:w val="0.30412371134020616"/>
                      <c:h val="0.125"/>
                    </c:manualLayout>
                  </c15:layout>
                </c:ext>
                <c:ext xmlns:c16="http://schemas.microsoft.com/office/drawing/2014/chart" uri="{C3380CC4-5D6E-409C-BE32-E72D297353CC}">
                  <c16:uniqueId val="{00000001-D2AB-4A61-90D0-F4FFD4F5BD1F}"/>
                </c:ext>
              </c:extLst>
            </c:dLbl>
            <c:dLbl>
              <c:idx val="1"/>
              <c:layout>
                <c:manualLayout>
                  <c:x val="-0.1611254062202207"/>
                  <c:y val="-7.5654806377729561E-2"/>
                </c:manualLayout>
              </c:layout>
              <c:dLblPos val="bestFit"/>
              <c:showLegendKey val="0"/>
              <c:showVal val="1"/>
              <c:showCatName val="0"/>
              <c:showSerName val="0"/>
              <c:showPercent val="0"/>
              <c:showBubbleSize val="0"/>
              <c:extLst>
                <c:ext xmlns:c15="http://schemas.microsoft.com/office/drawing/2012/chart" uri="{CE6537A1-D6FC-4f65-9D91-7224C49458BB}">
                  <c15:layout>
                    <c:manualLayout>
                      <c:w val="0.31615120274914088"/>
                      <c:h val="0.11842105263157894"/>
                    </c:manualLayout>
                  </c15:layout>
                </c:ext>
                <c:ext xmlns:c16="http://schemas.microsoft.com/office/drawing/2014/chart" uri="{C3380CC4-5D6E-409C-BE32-E72D297353CC}">
                  <c16:uniqueId val="{00000003-D2AB-4A61-90D0-F4FFD4F5BD1F}"/>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noFill/>
                  <a:round/>
                </a:ln>
                <a:effectLst/>
              </c:spPr>
            </c:leaderLines>
            <c:extLst>
              <c:ext xmlns:c15="http://schemas.microsoft.com/office/drawing/2012/chart" uri="{CE6537A1-D6FC-4f65-9D91-7224C49458BB}"/>
            </c:extLst>
          </c:dLbls>
          <c:cat>
            <c:strRef>
              <c:f>Pivots!$B$19:$B$21</c:f>
              <c:strCache>
                <c:ptCount val="2"/>
                <c:pt idx="0">
                  <c:v>Female</c:v>
                </c:pt>
                <c:pt idx="1">
                  <c:v>Male</c:v>
                </c:pt>
              </c:strCache>
            </c:strRef>
          </c:cat>
          <c:val>
            <c:numRef>
              <c:f>Pivots!$C$19:$C$21</c:f>
              <c:numCache>
                <c:formatCode>0.00%</c:formatCode>
                <c:ptCount val="2"/>
                <c:pt idx="0">
                  <c:v>0.504</c:v>
                </c:pt>
                <c:pt idx="1">
                  <c:v>0.496</c:v>
                </c:pt>
              </c:numCache>
            </c:numRef>
          </c:val>
          <c:extLst>
            <c:ext xmlns:c16="http://schemas.microsoft.com/office/drawing/2014/chart" uri="{C3380CC4-5D6E-409C-BE32-E72D297353CC}">
              <c16:uniqueId val="{00000004-D2AB-4A61-90D0-F4FFD4F5BD1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[HR_Analytics_Dataset.xlsx]Pivots!Attrition Depart</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100" b="1">
                <a:solidFill>
                  <a:schemeClr val="accent4">
                    <a:lumMod val="50000"/>
                  </a:schemeClr>
                </a:solidFill>
              </a:rPr>
              <a:t>Attrition</a:t>
            </a:r>
            <a:r>
              <a:rPr lang="en-IN" sz="1100" b="1" baseline="0">
                <a:solidFill>
                  <a:schemeClr val="accent4">
                    <a:lumMod val="50000"/>
                  </a:schemeClr>
                </a:solidFill>
              </a:rPr>
              <a:t> by Department</a:t>
            </a:r>
            <a:endParaRPr lang="en-IN" sz="1100" b="1">
              <a:solidFill>
                <a:schemeClr val="accent4">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Pivots!$C$28:$C$29</c:f>
              <c:strCache>
                <c:ptCount val="1"/>
                <c:pt idx="0">
                  <c:v>No</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Pivots!$B$30:$B$36</c:f>
              <c:strCache>
                <c:ptCount val="6"/>
                <c:pt idx="0">
                  <c:v>Finance</c:v>
                </c:pt>
                <c:pt idx="1">
                  <c:v>HR</c:v>
                </c:pt>
                <c:pt idx="2">
                  <c:v>IT</c:v>
                </c:pt>
                <c:pt idx="3">
                  <c:v>Marketing</c:v>
                </c:pt>
                <c:pt idx="4">
                  <c:v>Operations</c:v>
                </c:pt>
                <c:pt idx="5">
                  <c:v>Sales</c:v>
                </c:pt>
              </c:strCache>
            </c:strRef>
          </c:cat>
          <c:val>
            <c:numRef>
              <c:f>Pivots!$C$30:$C$36</c:f>
              <c:numCache>
                <c:formatCode>General</c:formatCode>
                <c:ptCount val="6"/>
                <c:pt idx="0">
                  <c:v>148</c:v>
                </c:pt>
                <c:pt idx="1">
                  <c:v>132</c:v>
                </c:pt>
                <c:pt idx="2">
                  <c:v>141</c:v>
                </c:pt>
                <c:pt idx="3">
                  <c:v>139</c:v>
                </c:pt>
                <c:pt idx="4">
                  <c:v>123</c:v>
                </c:pt>
                <c:pt idx="5">
                  <c:v>128</c:v>
                </c:pt>
              </c:numCache>
            </c:numRef>
          </c:val>
          <c:extLst>
            <c:ext xmlns:c16="http://schemas.microsoft.com/office/drawing/2014/chart" uri="{C3380CC4-5D6E-409C-BE32-E72D297353CC}">
              <c16:uniqueId val="{00000000-64BB-4DCD-A4FA-9C951C7E4662}"/>
            </c:ext>
          </c:extLst>
        </c:ser>
        <c:ser>
          <c:idx val="1"/>
          <c:order val="1"/>
          <c:tx>
            <c:strRef>
              <c:f>Pivots!$D$28:$D$29</c:f>
              <c:strCache>
                <c:ptCount val="1"/>
                <c:pt idx="0">
                  <c:v>Yes</c:v>
                </c:pt>
              </c:strCache>
            </c:strRef>
          </c:tx>
          <c:spPr>
            <a:solidFill>
              <a:schemeClr val="accent5">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Pivots!$B$30:$B$36</c:f>
              <c:strCache>
                <c:ptCount val="6"/>
                <c:pt idx="0">
                  <c:v>Finance</c:v>
                </c:pt>
                <c:pt idx="1">
                  <c:v>HR</c:v>
                </c:pt>
                <c:pt idx="2">
                  <c:v>IT</c:v>
                </c:pt>
                <c:pt idx="3">
                  <c:v>Marketing</c:v>
                </c:pt>
                <c:pt idx="4">
                  <c:v>Operations</c:v>
                </c:pt>
                <c:pt idx="5">
                  <c:v>Sales</c:v>
                </c:pt>
              </c:strCache>
            </c:strRef>
          </c:cat>
          <c:val>
            <c:numRef>
              <c:f>Pivots!$D$30:$D$36</c:f>
              <c:numCache>
                <c:formatCode>General</c:formatCode>
                <c:ptCount val="6"/>
                <c:pt idx="0">
                  <c:v>40</c:v>
                </c:pt>
                <c:pt idx="1">
                  <c:v>32</c:v>
                </c:pt>
                <c:pt idx="2">
                  <c:v>28</c:v>
                </c:pt>
                <c:pt idx="3">
                  <c:v>32</c:v>
                </c:pt>
                <c:pt idx="4">
                  <c:v>32</c:v>
                </c:pt>
                <c:pt idx="5">
                  <c:v>25</c:v>
                </c:pt>
              </c:numCache>
            </c:numRef>
          </c:val>
          <c:extLst>
            <c:ext xmlns:c16="http://schemas.microsoft.com/office/drawing/2014/chart" uri="{C3380CC4-5D6E-409C-BE32-E72D297353CC}">
              <c16:uniqueId val="{00000002-43DC-45A0-A7D3-5FA282B78992}"/>
            </c:ext>
          </c:extLst>
        </c:ser>
        <c:dLbls>
          <c:dLblPos val="outEnd"/>
          <c:showLegendKey val="0"/>
          <c:showVal val="1"/>
          <c:showCatName val="0"/>
          <c:showSerName val="0"/>
          <c:showPercent val="0"/>
          <c:showBubbleSize val="0"/>
        </c:dLbls>
        <c:gapWidth val="50"/>
        <c:axId val="854399328"/>
        <c:axId val="854401248"/>
      </c:barChart>
      <c:catAx>
        <c:axId val="8543993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854401248"/>
        <c:crosses val="autoZero"/>
        <c:auto val="1"/>
        <c:lblAlgn val="ctr"/>
        <c:lblOffset val="100"/>
        <c:noMultiLvlLbl val="0"/>
      </c:catAx>
      <c:valAx>
        <c:axId val="8544012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4399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[HR_Analytics_Dataset.xlsx]Pivots!Avg sal Depart</c:name>
    <c:fmtId val="3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100" b="1">
                <a:solidFill>
                  <a:schemeClr val="accent4">
                    <a:lumMod val="50000"/>
                  </a:schemeClr>
                </a:solidFill>
              </a:rPr>
              <a:t>Average</a:t>
            </a:r>
            <a:r>
              <a:rPr lang="en-IN" sz="1100" b="1" baseline="0">
                <a:solidFill>
                  <a:schemeClr val="accent4">
                    <a:lumMod val="50000"/>
                  </a:schemeClr>
                </a:solidFill>
              </a:rPr>
              <a:t> salary</a:t>
            </a:r>
            <a:endParaRPr lang="en-IN" sz="1100" b="1">
              <a:solidFill>
                <a:schemeClr val="accent4">
                  <a:lumMod val="50000"/>
                </a:schemeClr>
              </a:solidFill>
            </a:endParaRPr>
          </a:p>
        </c:rich>
      </c:tx>
      <c:layout>
        <c:manualLayout>
          <c:xMode val="edge"/>
          <c:yMode val="edge"/>
          <c:x val="0.37949682124550121"/>
          <c:y val="3.827751196172248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75000"/>
            </a:schemeClr>
          </a:solidFill>
          <a:ln>
            <a:noFill/>
          </a:ln>
          <a:effectLst/>
          <a:sp3d/>
        </c:spPr>
        <c:dLbl>
          <c:idx val="0"/>
          <c:layout>
            <c:manualLayout>
              <c:x val="7.9668365888707088E-3"/>
              <c:y val="-4.337464993909254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75000"/>
            </a:schemeClr>
          </a:solidFill>
          <a:ln>
            <a:noFill/>
          </a:ln>
          <a:effectLst/>
          <a:sp3d/>
        </c:spPr>
        <c:dLbl>
          <c:idx val="0"/>
          <c:layout>
            <c:manualLayout>
              <c:x val="1.5587152868487598E-2"/>
              <c:y val="-9.6091074918372585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75000"/>
            </a:schemeClr>
          </a:solidFill>
          <a:ln>
            <a:noFill/>
          </a:ln>
          <a:effectLst/>
          <a:sp3d/>
        </c:spPr>
        <c:dLbl>
          <c:idx val="0"/>
          <c:layout>
            <c:manualLayout>
              <c:x val="7.7905378216030997E-4"/>
              <c:y val="-3.834482412186517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lumMod val="75000"/>
            </a:schemeClr>
          </a:solidFill>
          <a:ln>
            <a:noFill/>
          </a:ln>
          <a:effectLst/>
          <a:sp3d/>
        </c:spPr>
        <c:dLbl>
          <c:idx val="0"/>
          <c:layout>
            <c:manualLayout>
              <c:x val="2.2602181124203188E-2"/>
              <c:y val="-5.042886385613281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lumMod val="75000"/>
            </a:schemeClr>
          </a:solidFill>
          <a:ln>
            <a:noFill/>
          </a:ln>
          <a:effectLst/>
          <a:sp3d/>
        </c:spPr>
        <c:dLbl>
          <c:idx val="0"/>
          <c:layout>
            <c:manualLayout>
              <c:x val="1.1560727992225876E-2"/>
              <c:y val="-5.8833841942006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lumMod val="75000"/>
            </a:schemeClr>
          </a:solidFill>
          <a:ln>
            <a:noFill/>
          </a:ln>
          <a:effectLst/>
          <a:sp3d/>
        </c:spPr>
        <c:dLbl>
          <c:idx val="0"/>
          <c:layout>
            <c:manualLayout>
              <c:x val="3.4682183976677626E-2"/>
              <c:y val="-6.251340591995381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Pivots!$C$44</c:f>
              <c:strCache>
                <c:ptCount val="1"/>
                <c:pt idx="0">
                  <c:v>Total</c:v>
                </c:pt>
              </c:strCache>
            </c:strRef>
          </c:tx>
          <c:spPr>
            <a:solidFill>
              <a:schemeClr val="accent4">
                <a:lumMod val="75000"/>
              </a:schemeClr>
            </a:solidFill>
            <a:ln>
              <a:noFill/>
            </a:ln>
            <a:effectLst/>
            <a:sp3d/>
          </c:spPr>
          <c:invertIfNegative val="0"/>
          <c:dPt>
            <c:idx val="0"/>
            <c:invertIfNegative val="0"/>
            <c:bubble3D val="0"/>
            <c:spPr>
              <a:solidFill>
                <a:schemeClr val="accent4">
                  <a:lumMod val="75000"/>
                </a:schemeClr>
              </a:solidFill>
              <a:ln>
                <a:noFill/>
              </a:ln>
              <a:effectLst/>
              <a:sp3d/>
            </c:spPr>
            <c:extLst>
              <c:ext xmlns:c16="http://schemas.microsoft.com/office/drawing/2014/chart" uri="{C3380CC4-5D6E-409C-BE32-E72D297353CC}">
                <c16:uniqueId val="{00000000-22A1-4335-B851-E187BDE121CB}"/>
              </c:ext>
            </c:extLst>
          </c:dPt>
          <c:dLbls>
            <c:dLbl>
              <c:idx val="0"/>
              <c:layout>
                <c:manualLayout>
                  <c:x val="7.9668365888707088E-3"/>
                  <c:y val="-4.337464993909254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2A1-4335-B851-E187BDE121CB}"/>
                </c:ext>
              </c:extLst>
            </c:dLbl>
            <c:dLbl>
              <c:idx val="1"/>
              <c:layout>
                <c:manualLayout>
                  <c:x val="1.5587152868487598E-2"/>
                  <c:y val="-9.6091074918372585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9BF-48BC-A9D1-75396A340961}"/>
                </c:ext>
              </c:extLst>
            </c:dLbl>
            <c:dLbl>
              <c:idx val="2"/>
              <c:layout>
                <c:manualLayout>
                  <c:x val="7.7905378216030997E-4"/>
                  <c:y val="-3.834482412186517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9BF-48BC-A9D1-75396A340961}"/>
                </c:ext>
              </c:extLst>
            </c:dLbl>
            <c:dLbl>
              <c:idx val="3"/>
              <c:layout>
                <c:manualLayout>
                  <c:x val="2.2602181124203188E-2"/>
                  <c:y val="-5.042886385613281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9BF-48BC-A9D1-75396A340961}"/>
                </c:ext>
              </c:extLst>
            </c:dLbl>
            <c:dLbl>
              <c:idx val="4"/>
              <c:layout>
                <c:manualLayout>
                  <c:x val="1.1560727992225876E-2"/>
                  <c:y val="-5.8833841942006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9BF-48BC-A9D1-75396A340961}"/>
                </c:ext>
              </c:extLst>
            </c:dLbl>
            <c:dLbl>
              <c:idx val="5"/>
              <c:layout>
                <c:manualLayout>
                  <c:x val="3.4682183976677626E-2"/>
                  <c:y val="-6.251340591995381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9BF-48BC-A9D1-75396A34096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Pivots!$B$45:$B$51</c:f>
              <c:strCache>
                <c:ptCount val="6"/>
                <c:pt idx="0">
                  <c:v>Finance</c:v>
                </c:pt>
                <c:pt idx="1">
                  <c:v>HR</c:v>
                </c:pt>
                <c:pt idx="2">
                  <c:v>IT</c:v>
                </c:pt>
                <c:pt idx="3">
                  <c:v>Marketing</c:v>
                </c:pt>
                <c:pt idx="4">
                  <c:v>Operations</c:v>
                </c:pt>
                <c:pt idx="5">
                  <c:v>Sales</c:v>
                </c:pt>
              </c:strCache>
            </c:strRef>
          </c:cat>
          <c:val>
            <c:numRef>
              <c:f>Pivots!$C$45:$C$51</c:f>
              <c:numCache>
                <c:formatCode>"$"#,##0</c:formatCode>
                <c:ptCount val="6"/>
                <c:pt idx="0">
                  <c:v>71362.601063829788</c:v>
                </c:pt>
                <c:pt idx="1">
                  <c:v>69598.585365853665</c:v>
                </c:pt>
                <c:pt idx="2">
                  <c:v>72111.804733727811</c:v>
                </c:pt>
                <c:pt idx="3">
                  <c:v>71612.549707602346</c:v>
                </c:pt>
                <c:pt idx="4">
                  <c:v>69317.993548387094</c:v>
                </c:pt>
                <c:pt idx="5">
                  <c:v>71582.124183006541</c:v>
                </c:pt>
              </c:numCache>
            </c:numRef>
          </c:val>
          <c:extLst>
            <c:ext xmlns:c16="http://schemas.microsoft.com/office/drawing/2014/chart" uri="{C3380CC4-5D6E-409C-BE32-E72D297353CC}">
              <c16:uniqueId val="{00000000-9768-4B5A-A8AE-66916DAB6336}"/>
            </c:ext>
          </c:extLst>
        </c:ser>
        <c:dLbls>
          <c:showLegendKey val="0"/>
          <c:showVal val="1"/>
          <c:showCatName val="0"/>
          <c:showSerName val="0"/>
          <c:showPercent val="0"/>
          <c:showBubbleSize val="0"/>
        </c:dLbls>
        <c:gapWidth val="150"/>
        <c:shape val="box"/>
        <c:axId val="654036143"/>
        <c:axId val="654036623"/>
        <c:axId val="0"/>
      </c:bar3DChart>
      <c:catAx>
        <c:axId val="65403614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654036623"/>
        <c:crosses val="autoZero"/>
        <c:auto val="1"/>
        <c:lblAlgn val="r"/>
        <c:lblOffset val="100"/>
        <c:noMultiLvlLbl val="0"/>
      </c:catAx>
      <c:valAx>
        <c:axId val="654036623"/>
        <c:scaling>
          <c:orientation val="minMax"/>
        </c:scaling>
        <c:delete val="1"/>
        <c:axPos val="l"/>
        <c:numFmt formatCode="&quot;$&quot;#,##0" sourceLinked="1"/>
        <c:majorTickMark val="none"/>
        <c:minorTickMark val="none"/>
        <c:tickLblPos val="nextTo"/>
        <c:crossAx val="6540361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[HR_Analytics_Dataset.xlsx]Pivots!Avg Perf Rating</c:name>
    <c:fmtId val="3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solidFill>
                  <a:schemeClr val="accent4">
                    <a:lumMod val="50000"/>
                  </a:schemeClr>
                </a:solidFill>
              </a:rPr>
              <a:t>Average</a:t>
            </a:r>
            <a:r>
              <a:rPr lang="en-US" sz="1100" b="1" baseline="0">
                <a:solidFill>
                  <a:schemeClr val="accent4">
                    <a:lumMod val="50000"/>
                  </a:schemeClr>
                </a:solidFill>
              </a:rPr>
              <a:t> Performance Rating</a:t>
            </a:r>
            <a:endParaRPr lang="en-US" sz="1100" b="1">
              <a:solidFill>
                <a:schemeClr val="accent4">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Pivots!$C$59</c:f>
              <c:strCache>
                <c:ptCount val="1"/>
                <c:pt idx="0">
                  <c:v>Total</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Pivots!$B$60:$B$66</c:f>
              <c:strCache>
                <c:ptCount val="6"/>
                <c:pt idx="0">
                  <c:v>Finance</c:v>
                </c:pt>
                <c:pt idx="1">
                  <c:v>HR</c:v>
                </c:pt>
                <c:pt idx="2">
                  <c:v>IT</c:v>
                </c:pt>
                <c:pt idx="3">
                  <c:v>Marketing</c:v>
                </c:pt>
                <c:pt idx="4">
                  <c:v>Operations</c:v>
                </c:pt>
                <c:pt idx="5">
                  <c:v>Sales</c:v>
                </c:pt>
              </c:strCache>
            </c:strRef>
          </c:cat>
          <c:val>
            <c:numRef>
              <c:f>Pivots!$C$60:$C$66</c:f>
              <c:numCache>
                <c:formatCode>#,##0.00</c:formatCode>
                <c:ptCount val="6"/>
                <c:pt idx="0">
                  <c:v>2.978723404255319</c:v>
                </c:pt>
                <c:pt idx="1">
                  <c:v>3.1585365853658538</c:v>
                </c:pt>
                <c:pt idx="2">
                  <c:v>3.0414201183431953</c:v>
                </c:pt>
                <c:pt idx="3">
                  <c:v>3</c:v>
                </c:pt>
                <c:pt idx="4">
                  <c:v>3.1032258064516127</c:v>
                </c:pt>
                <c:pt idx="5">
                  <c:v>2.9215686274509802</c:v>
                </c:pt>
              </c:numCache>
            </c:numRef>
          </c:val>
          <c:extLst>
            <c:ext xmlns:c16="http://schemas.microsoft.com/office/drawing/2014/chart" uri="{C3380CC4-5D6E-409C-BE32-E72D297353CC}">
              <c16:uniqueId val="{00000000-2E5A-46F9-9FEA-2441AFBFEA5F}"/>
            </c:ext>
          </c:extLst>
        </c:ser>
        <c:dLbls>
          <c:dLblPos val="outEnd"/>
          <c:showLegendKey val="0"/>
          <c:showVal val="1"/>
          <c:showCatName val="0"/>
          <c:showSerName val="0"/>
          <c:showPercent val="0"/>
          <c:showBubbleSize val="0"/>
        </c:dLbls>
        <c:gapWidth val="219"/>
        <c:overlap val="-27"/>
        <c:axId val="793263679"/>
        <c:axId val="793262719"/>
      </c:barChart>
      <c:catAx>
        <c:axId val="793263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793262719"/>
        <c:crosses val="autoZero"/>
        <c:auto val="1"/>
        <c:lblAlgn val="ctr"/>
        <c:lblOffset val="100"/>
        <c:noMultiLvlLbl val="0"/>
      </c:catAx>
      <c:valAx>
        <c:axId val="793262719"/>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32636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[HR_Analytics_Dataset.xlsx]Pivots!Exp Level</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100" b="1">
                <a:solidFill>
                  <a:schemeClr val="accent4">
                    <a:lumMod val="50000"/>
                  </a:schemeClr>
                </a:solidFill>
              </a:rPr>
              <a:t>Employee Experience</a:t>
            </a:r>
            <a:r>
              <a:rPr lang="en-IN" sz="1100" b="1" baseline="0">
                <a:solidFill>
                  <a:schemeClr val="accent4">
                    <a:lumMod val="50000"/>
                  </a:schemeClr>
                </a:solidFill>
              </a:rPr>
              <a:t>   Distribution</a:t>
            </a:r>
          </a:p>
        </c:rich>
      </c:tx>
      <c:layout>
        <c:manualLayout>
          <c:xMode val="edge"/>
          <c:yMode val="edge"/>
          <c:x val="0.23138971066423533"/>
          <c:y val="3.344202890177418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75000"/>
            </a:schemeClr>
          </a:solidFill>
          <a:ln w="19050">
            <a:solidFill>
              <a:schemeClr val="lt1"/>
            </a:solidFill>
          </a:ln>
          <a:effectLst/>
        </c:spPr>
      </c:pivotFmt>
      <c:pivotFmt>
        <c:idx val="2"/>
        <c:spPr>
          <a:solidFill>
            <a:schemeClr val="accent5">
              <a:lumMod val="75000"/>
            </a:schemeClr>
          </a:solidFill>
          <a:ln w="19050">
            <a:solidFill>
              <a:schemeClr val="lt1"/>
            </a:solidFill>
          </a:ln>
          <a:effectLst/>
        </c:spPr>
      </c:pivotFmt>
      <c:pivotFmt>
        <c:idx val="3"/>
        <c:spPr>
          <a:solidFill>
            <a:schemeClr val="accent6">
              <a:lumMod val="75000"/>
            </a:schemeClr>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lumMod val="75000"/>
            </a:schemeClr>
          </a:solidFill>
          <a:ln w="19050">
            <a:solidFill>
              <a:schemeClr val="lt1"/>
            </a:solidFill>
          </a:ln>
          <a:effectLst/>
        </c:spPr>
      </c:pivotFmt>
      <c:pivotFmt>
        <c:idx val="6"/>
        <c:spPr>
          <a:solidFill>
            <a:schemeClr val="accent6">
              <a:lumMod val="75000"/>
            </a:schemeClr>
          </a:solidFill>
          <a:ln w="19050">
            <a:solidFill>
              <a:schemeClr val="lt1"/>
            </a:solidFill>
          </a:ln>
          <a:effectLst/>
        </c:spPr>
      </c:pivotFmt>
      <c:pivotFmt>
        <c:idx val="7"/>
        <c:spPr>
          <a:solidFill>
            <a:schemeClr val="accent4">
              <a:lumMod val="75000"/>
            </a:schemeClr>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a:softEdge rad="0"/>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5">
              <a:lumMod val="75000"/>
            </a:schemeClr>
          </a:solidFill>
          <a:ln w="19050">
            <a:solidFill>
              <a:schemeClr val="lt1"/>
            </a:solidFill>
          </a:ln>
          <a:effectLst/>
        </c:spPr>
        <c:dLbl>
          <c:idx val="0"/>
          <c:layout>
            <c:manualLayout>
              <c:x val="3.0517707679608926E-2"/>
              <c:y val="-6.4171122994652413E-2"/>
            </c:manualLayout>
          </c:layout>
          <c:spPr>
            <a:noFill/>
            <a:ln>
              <a:noFill/>
            </a:ln>
            <a:effectLst>
              <a:softEdge rad="0"/>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lumMod val="75000"/>
            </a:schemeClr>
          </a:solidFill>
          <a:ln w="19050">
            <a:solidFill>
              <a:schemeClr val="lt1"/>
            </a:solidFill>
          </a:ln>
          <a:effectLst/>
        </c:spPr>
        <c:dLbl>
          <c:idx val="0"/>
          <c:layout>
            <c:manualLayout>
              <c:x val="6.1035415359217852E-2"/>
              <c:y val="-6.4171122994652469E-2"/>
            </c:manualLayout>
          </c:layout>
          <c:spPr>
            <a:noFill/>
            <a:ln>
              <a:noFill/>
            </a:ln>
            <a:effectLst>
              <a:softEdge rad="0"/>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4">
              <a:lumMod val="75000"/>
            </a:schemeClr>
          </a:solidFill>
          <a:ln w="19050">
            <a:solidFill>
              <a:schemeClr val="lt1"/>
            </a:solidFill>
          </a:ln>
          <a:effectLst/>
        </c:spPr>
        <c:dLbl>
          <c:idx val="0"/>
          <c:layout>
            <c:manualLayout>
              <c:x val="-6.1035415359217873E-2"/>
              <c:y val="4.2780748663101602E-2"/>
            </c:manualLayout>
          </c:layout>
          <c:spPr>
            <a:noFill/>
            <a:ln>
              <a:noFill/>
            </a:ln>
            <a:effectLst>
              <a:softEdge rad="0"/>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180215883610574"/>
          <c:y val="0.25910143584993051"/>
          <c:w val="0.43307046389316278"/>
          <c:h val="0.60444594158350529"/>
        </c:manualLayout>
      </c:layout>
      <c:doughnutChart>
        <c:varyColors val="1"/>
        <c:ser>
          <c:idx val="0"/>
          <c:order val="0"/>
          <c:tx>
            <c:strRef>
              <c:f>Pivots!$C$93</c:f>
              <c:strCache>
                <c:ptCount val="1"/>
                <c:pt idx="0">
                  <c:v>Total</c:v>
                </c:pt>
              </c:strCache>
            </c:strRef>
          </c:tx>
          <c:dPt>
            <c:idx val="0"/>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1-433F-4D4A-AD62-421ACA9C0904}"/>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433F-4D4A-AD62-421ACA9C0904}"/>
              </c:ext>
            </c:extLst>
          </c:dPt>
          <c:dPt>
            <c:idx val="2"/>
            <c:bubble3D val="0"/>
            <c:spPr>
              <a:solidFill>
                <a:schemeClr val="accent4">
                  <a:lumMod val="75000"/>
                </a:schemeClr>
              </a:solidFill>
              <a:ln w="19050">
                <a:solidFill>
                  <a:schemeClr val="lt1"/>
                </a:solidFill>
              </a:ln>
              <a:effectLst/>
            </c:spPr>
            <c:extLst>
              <c:ext xmlns:c16="http://schemas.microsoft.com/office/drawing/2014/chart" uri="{C3380CC4-5D6E-409C-BE32-E72D297353CC}">
                <c16:uniqueId val="{00000005-433F-4D4A-AD62-421ACA9C0904}"/>
              </c:ext>
            </c:extLst>
          </c:dPt>
          <c:dLbls>
            <c:dLbl>
              <c:idx val="0"/>
              <c:layout>
                <c:manualLayout>
                  <c:x val="3.0517707679608926E-2"/>
                  <c:y val="-6.417112299465241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33F-4D4A-AD62-421ACA9C0904}"/>
                </c:ext>
              </c:extLst>
            </c:dLbl>
            <c:dLbl>
              <c:idx val="1"/>
              <c:layout>
                <c:manualLayout>
                  <c:x val="6.1035415359217852E-2"/>
                  <c:y val="-6.417112299465246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33F-4D4A-AD62-421ACA9C0904}"/>
                </c:ext>
              </c:extLst>
            </c:dLbl>
            <c:dLbl>
              <c:idx val="2"/>
              <c:layout>
                <c:manualLayout>
                  <c:x val="-6.1035415359217873E-2"/>
                  <c:y val="4.278074866310160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33F-4D4A-AD62-421ACA9C0904}"/>
                </c:ext>
              </c:extLst>
            </c:dLbl>
            <c:spPr>
              <a:noFill/>
              <a:ln>
                <a:noFill/>
              </a:ln>
              <a:effectLst>
                <a:softEdge rad="0"/>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Pivots!$B$94:$B$97</c:f>
              <c:strCache>
                <c:ptCount val="3"/>
                <c:pt idx="0">
                  <c:v>Junior</c:v>
                </c:pt>
                <c:pt idx="1">
                  <c:v>Mid-Level</c:v>
                </c:pt>
                <c:pt idx="2">
                  <c:v>Senior</c:v>
                </c:pt>
              </c:strCache>
            </c:strRef>
          </c:cat>
          <c:val>
            <c:numRef>
              <c:f>Pivots!$C$94:$C$97</c:f>
              <c:numCache>
                <c:formatCode>General</c:formatCode>
                <c:ptCount val="3"/>
                <c:pt idx="0">
                  <c:v>148</c:v>
                </c:pt>
                <c:pt idx="1">
                  <c:v>174</c:v>
                </c:pt>
                <c:pt idx="2">
                  <c:v>678</c:v>
                </c:pt>
              </c:numCache>
            </c:numRef>
          </c:val>
          <c:extLst>
            <c:ext xmlns:c16="http://schemas.microsoft.com/office/drawing/2014/chart" uri="{C3380CC4-5D6E-409C-BE32-E72D297353CC}">
              <c16:uniqueId val="{00000006-433F-4D4A-AD62-421ACA9C090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68765686882712285"/>
          <c:y val="0.54232864270742109"/>
          <c:w val="0.2471129327396932"/>
          <c:h val="0.3189192686968318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[HR_Analytics_Dataset.xlsx]Pivots!Emp Department</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Pivots!$C$4</c:f>
              <c:strCache>
                <c:ptCount val="1"/>
                <c:pt idx="0">
                  <c:v>Total</c:v>
                </c:pt>
              </c:strCache>
            </c:strRef>
          </c:tx>
          <c:spPr>
            <a:solidFill>
              <a:schemeClr val="accent1"/>
            </a:solidFill>
            <a:ln>
              <a:noFill/>
            </a:ln>
            <a:effectLst/>
          </c:spPr>
          <c:invertIfNegative val="0"/>
          <c:cat>
            <c:strRef>
              <c:f>Pivots!$B$5:$B$11</c:f>
              <c:strCache>
                <c:ptCount val="6"/>
                <c:pt idx="0">
                  <c:v>Finance</c:v>
                </c:pt>
                <c:pt idx="1">
                  <c:v>Marketing</c:v>
                </c:pt>
                <c:pt idx="2">
                  <c:v>IT</c:v>
                </c:pt>
                <c:pt idx="3">
                  <c:v>HR</c:v>
                </c:pt>
                <c:pt idx="4">
                  <c:v>Operations</c:v>
                </c:pt>
                <c:pt idx="5">
                  <c:v>Sales</c:v>
                </c:pt>
              </c:strCache>
            </c:strRef>
          </c:cat>
          <c:val>
            <c:numRef>
              <c:f>Pivots!$C$5:$C$11</c:f>
              <c:numCache>
                <c:formatCode>General</c:formatCode>
                <c:ptCount val="6"/>
                <c:pt idx="0">
                  <c:v>188</c:v>
                </c:pt>
                <c:pt idx="1">
                  <c:v>171</c:v>
                </c:pt>
                <c:pt idx="2">
                  <c:v>169</c:v>
                </c:pt>
                <c:pt idx="3">
                  <c:v>164</c:v>
                </c:pt>
                <c:pt idx="4">
                  <c:v>155</c:v>
                </c:pt>
                <c:pt idx="5">
                  <c:v>153</c:v>
                </c:pt>
              </c:numCache>
            </c:numRef>
          </c:val>
          <c:extLst>
            <c:ext xmlns:c16="http://schemas.microsoft.com/office/drawing/2014/chart" uri="{C3380CC4-5D6E-409C-BE32-E72D297353CC}">
              <c16:uniqueId val="{00000000-FBEE-4DA7-8702-E98A76BE4226}"/>
            </c:ext>
          </c:extLst>
        </c:ser>
        <c:dLbls>
          <c:showLegendKey val="0"/>
          <c:showVal val="0"/>
          <c:showCatName val="0"/>
          <c:showSerName val="0"/>
          <c:showPercent val="0"/>
          <c:showBubbleSize val="0"/>
        </c:dLbls>
        <c:gapWidth val="219"/>
        <c:overlap val="-27"/>
        <c:axId val="854378688"/>
        <c:axId val="854372928"/>
      </c:barChart>
      <c:catAx>
        <c:axId val="854378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4372928"/>
        <c:crosses val="autoZero"/>
        <c:auto val="1"/>
        <c:lblAlgn val="ctr"/>
        <c:lblOffset val="100"/>
        <c:noMultiLvlLbl val="0"/>
      </c:catAx>
      <c:valAx>
        <c:axId val="8543729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4378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[HR_Analytics_Dataset.xlsx]Pivots!Gender Distribution</c:name>
    <c:fmtId val="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Pivots!$C$18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AA1-411F-8FCB-AC0E852794D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AA1-411F-8FCB-AC0E852794D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Pivots!$B$19:$B$21</c:f>
              <c:strCache>
                <c:ptCount val="2"/>
                <c:pt idx="0">
                  <c:v>Female</c:v>
                </c:pt>
                <c:pt idx="1">
                  <c:v>Male</c:v>
                </c:pt>
              </c:strCache>
            </c:strRef>
          </c:cat>
          <c:val>
            <c:numRef>
              <c:f>Pivots!$C$19:$C$21</c:f>
              <c:numCache>
                <c:formatCode>0.00%</c:formatCode>
                <c:ptCount val="2"/>
                <c:pt idx="0">
                  <c:v>0.504</c:v>
                </c:pt>
                <c:pt idx="1">
                  <c:v>0.496</c:v>
                </c:pt>
              </c:numCache>
            </c:numRef>
          </c:val>
          <c:extLst>
            <c:ext xmlns:c16="http://schemas.microsoft.com/office/drawing/2014/chart" uri="{C3380CC4-5D6E-409C-BE32-E72D297353CC}">
              <c16:uniqueId val="{00000000-2A25-4986-94E2-64D2E282FFB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[HR_Analytics_Dataset.xlsx]Pivots!Attrition Depart</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Pivots!$C$28:$C$29</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Pivots!$B$30:$B$36</c:f>
              <c:strCache>
                <c:ptCount val="6"/>
                <c:pt idx="0">
                  <c:v>Finance</c:v>
                </c:pt>
                <c:pt idx="1">
                  <c:v>HR</c:v>
                </c:pt>
                <c:pt idx="2">
                  <c:v>IT</c:v>
                </c:pt>
                <c:pt idx="3">
                  <c:v>Marketing</c:v>
                </c:pt>
                <c:pt idx="4">
                  <c:v>Operations</c:v>
                </c:pt>
                <c:pt idx="5">
                  <c:v>Sales</c:v>
                </c:pt>
              </c:strCache>
            </c:strRef>
          </c:cat>
          <c:val>
            <c:numRef>
              <c:f>Pivots!$C$30:$C$36</c:f>
              <c:numCache>
                <c:formatCode>General</c:formatCode>
                <c:ptCount val="6"/>
                <c:pt idx="0">
                  <c:v>148</c:v>
                </c:pt>
                <c:pt idx="1">
                  <c:v>132</c:v>
                </c:pt>
                <c:pt idx="2">
                  <c:v>141</c:v>
                </c:pt>
                <c:pt idx="3">
                  <c:v>139</c:v>
                </c:pt>
                <c:pt idx="4">
                  <c:v>123</c:v>
                </c:pt>
                <c:pt idx="5">
                  <c:v>128</c:v>
                </c:pt>
              </c:numCache>
            </c:numRef>
          </c:val>
          <c:extLst>
            <c:ext xmlns:c16="http://schemas.microsoft.com/office/drawing/2014/chart" uri="{C3380CC4-5D6E-409C-BE32-E72D297353CC}">
              <c16:uniqueId val="{00000000-224A-4FFA-88F9-B5ADE01A562C}"/>
            </c:ext>
          </c:extLst>
        </c:ser>
        <c:ser>
          <c:idx val="1"/>
          <c:order val="1"/>
          <c:tx>
            <c:strRef>
              <c:f>Pivots!$D$28:$D$29</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Pivots!$B$30:$B$36</c:f>
              <c:strCache>
                <c:ptCount val="6"/>
                <c:pt idx="0">
                  <c:v>Finance</c:v>
                </c:pt>
                <c:pt idx="1">
                  <c:v>HR</c:v>
                </c:pt>
                <c:pt idx="2">
                  <c:v>IT</c:v>
                </c:pt>
                <c:pt idx="3">
                  <c:v>Marketing</c:v>
                </c:pt>
                <c:pt idx="4">
                  <c:v>Operations</c:v>
                </c:pt>
                <c:pt idx="5">
                  <c:v>Sales</c:v>
                </c:pt>
              </c:strCache>
            </c:strRef>
          </c:cat>
          <c:val>
            <c:numRef>
              <c:f>Pivots!$D$30:$D$36</c:f>
              <c:numCache>
                <c:formatCode>General</c:formatCode>
                <c:ptCount val="6"/>
                <c:pt idx="0">
                  <c:v>40</c:v>
                </c:pt>
                <c:pt idx="1">
                  <c:v>32</c:v>
                </c:pt>
                <c:pt idx="2">
                  <c:v>28</c:v>
                </c:pt>
                <c:pt idx="3">
                  <c:v>32</c:v>
                </c:pt>
                <c:pt idx="4">
                  <c:v>32</c:v>
                </c:pt>
                <c:pt idx="5">
                  <c:v>25</c:v>
                </c:pt>
              </c:numCache>
            </c:numRef>
          </c:val>
          <c:extLst>
            <c:ext xmlns:c16="http://schemas.microsoft.com/office/drawing/2014/chart" uri="{C3380CC4-5D6E-409C-BE32-E72D297353CC}">
              <c16:uniqueId val="{00000002-BE7C-42A5-9BE4-0D0B4F1FE08D}"/>
            </c:ext>
          </c:extLst>
        </c:ser>
        <c:dLbls>
          <c:dLblPos val="outEnd"/>
          <c:showLegendKey val="0"/>
          <c:showVal val="1"/>
          <c:showCatName val="0"/>
          <c:showSerName val="0"/>
          <c:showPercent val="0"/>
          <c:showBubbleSize val="0"/>
        </c:dLbls>
        <c:gapWidth val="182"/>
        <c:axId val="854399328"/>
        <c:axId val="854401248"/>
      </c:barChart>
      <c:catAx>
        <c:axId val="8543993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4401248"/>
        <c:crosses val="autoZero"/>
        <c:auto val="1"/>
        <c:lblAlgn val="ctr"/>
        <c:lblOffset val="100"/>
        <c:noMultiLvlLbl val="0"/>
      </c:catAx>
      <c:valAx>
        <c:axId val="8544012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4399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[HR_Analytics_Dataset.xlsx]Pivots!Avg sal Depart</c:name>
    <c:fmtId val="3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Pivots!$C$44</c:f>
              <c:strCache>
                <c:ptCount val="1"/>
                <c:pt idx="0">
                  <c:v>Total</c:v>
                </c:pt>
              </c:strCache>
            </c:strRef>
          </c:tx>
          <c:spPr>
            <a:solidFill>
              <a:schemeClr val="accent1"/>
            </a:solidFill>
            <a:ln>
              <a:noFill/>
            </a:ln>
            <a:effectLst/>
            <a:sp3d/>
          </c:spPr>
          <c:invertIfNegative val="0"/>
          <c:cat>
            <c:strRef>
              <c:f>Pivots!$B$45:$B$51</c:f>
              <c:strCache>
                <c:ptCount val="6"/>
                <c:pt idx="0">
                  <c:v>Finance</c:v>
                </c:pt>
                <c:pt idx="1">
                  <c:v>HR</c:v>
                </c:pt>
                <c:pt idx="2">
                  <c:v>IT</c:v>
                </c:pt>
                <c:pt idx="3">
                  <c:v>Marketing</c:v>
                </c:pt>
                <c:pt idx="4">
                  <c:v>Operations</c:v>
                </c:pt>
                <c:pt idx="5">
                  <c:v>Sales</c:v>
                </c:pt>
              </c:strCache>
            </c:strRef>
          </c:cat>
          <c:val>
            <c:numRef>
              <c:f>Pivots!$C$45:$C$51</c:f>
              <c:numCache>
                <c:formatCode>"$"#,##0</c:formatCode>
                <c:ptCount val="6"/>
                <c:pt idx="0">
                  <c:v>71362.601063829788</c:v>
                </c:pt>
                <c:pt idx="1">
                  <c:v>69598.585365853665</c:v>
                </c:pt>
                <c:pt idx="2">
                  <c:v>72111.804733727811</c:v>
                </c:pt>
                <c:pt idx="3">
                  <c:v>71612.549707602346</c:v>
                </c:pt>
                <c:pt idx="4">
                  <c:v>69317.993548387094</c:v>
                </c:pt>
                <c:pt idx="5">
                  <c:v>71582.124183006541</c:v>
                </c:pt>
              </c:numCache>
            </c:numRef>
          </c:val>
          <c:extLst>
            <c:ext xmlns:c16="http://schemas.microsoft.com/office/drawing/2014/chart" uri="{C3380CC4-5D6E-409C-BE32-E72D297353CC}">
              <c16:uniqueId val="{00000000-D5C8-41D2-A961-0A476340C657}"/>
            </c:ext>
          </c:extLst>
        </c:ser>
        <c:dLbls>
          <c:showLegendKey val="0"/>
          <c:showVal val="0"/>
          <c:showCatName val="0"/>
          <c:showSerName val="0"/>
          <c:showPercent val="0"/>
          <c:showBubbleSize val="0"/>
        </c:dLbls>
        <c:gapWidth val="150"/>
        <c:shape val="box"/>
        <c:axId val="654036143"/>
        <c:axId val="654036623"/>
        <c:axId val="0"/>
      </c:bar3DChart>
      <c:catAx>
        <c:axId val="65403614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4036623"/>
        <c:crosses val="autoZero"/>
        <c:auto val="1"/>
        <c:lblAlgn val="ctr"/>
        <c:lblOffset val="100"/>
        <c:noMultiLvlLbl val="0"/>
      </c:catAx>
      <c:valAx>
        <c:axId val="65403662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40361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[HR_Analytics_Dataset.xlsx]Pivots!Avg Perf Rating</c:name>
    <c:fmtId val="3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Pivots!$C$59</c:f>
              <c:strCache>
                <c:ptCount val="1"/>
                <c:pt idx="0">
                  <c:v>Total</c:v>
                </c:pt>
              </c:strCache>
            </c:strRef>
          </c:tx>
          <c:spPr>
            <a:solidFill>
              <a:schemeClr val="accent1"/>
            </a:solidFill>
            <a:ln>
              <a:noFill/>
            </a:ln>
            <a:effectLst/>
          </c:spPr>
          <c:invertIfNegative val="0"/>
          <c:cat>
            <c:strRef>
              <c:f>Pivots!$B$60:$B$66</c:f>
              <c:strCache>
                <c:ptCount val="6"/>
                <c:pt idx="0">
                  <c:v>Finance</c:v>
                </c:pt>
                <c:pt idx="1">
                  <c:v>HR</c:v>
                </c:pt>
                <c:pt idx="2">
                  <c:v>IT</c:v>
                </c:pt>
                <c:pt idx="3">
                  <c:v>Marketing</c:v>
                </c:pt>
                <c:pt idx="4">
                  <c:v>Operations</c:v>
                </c:pt>
                <c:pt idx="5">
                  <c:v>Sales</c:v>
                </c:pt>
              </c:strCache>
            </c:strRef>
          </c:cat>
          <c:val>
            <c:numRef>
              <c:f>Pivots!$C$60:$C$66</c:f>
              <c:numCache>
                <c:formatCode>#,##0.00</c:formatCode>
                <c:ptCount val="6"/>
                <c:pt idx="0">
                  <c:v>2.978723404255319</c:v>
                </c:pt>
                <c:pt idx="1">
                  <c:v>3.1585365853658538</c:v>
                </c:pt>
                <c:pt idx="2">
                  <c:v>3.0414201183431953</c:v>
                </c:pt>
                <c:pt idx="3">
                  <c:v>3</c:v>
                </c:pt>
                <c:pt idx="4">
                  <c:v>3.1032258064516127</c:v>
                </c:pt>
                <c:pt idx="5">
                  <c:v>2.9215686274509802</c:v>
                </c:pt>
              </c:numCache>
            </c:numRef>
          </c:val>
          <c:extLst>
            <c:ext xmlns:c16="http://schemas.microsoft.com/office/drawing/2014/chart" uri="{C3380CC4-5D6E-409C-BE32-E72D297353CC}">
              <c16:uniqueId val="{00000000-AB03-41CD-870D-AF0E2719CCCE}"/>
            </c:ext>
          </c:extLst>
        </c:ser>
        <c:dLbls>
          <c:showLegendKey val="0"/>
          <c:showVal val="0"/>
          <c:showCatName val="0"/>
          <c:showSerName val="0"/>
          <c:showPercent val="0"/>
          <c:showBubbleSize val="0"/>
        </c:dLbls>
        <c:gapWidth val="219"/>
        <c:overlap val="-27"/>
        <c:axId val="793263679"/>
        <c:axId val="793262719"/>
      </c:barChart>
      <c:catAx>
        <c:axId val="793263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3262719"/>
        <c:crosses val="autoZero"/>
        <c:auto val="1"/>
        <c:lblAlgn val="ctr"/>
        <c:lblOffset val="100"/>
        <c:noMultiLvlLbl val="0"/>
      </c:catAx>
      <c:valAx>
        <c:axId val="79326271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32636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[HR_Analytics_Dataset.xlsx]Pivots!Exp Level</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100" b="1">
                <a:solidFill>
                  <a:schemeClr val="accent4">
                    <a:lumMod val="50000"/>
                  </a:schemeClr>
                </a:solidFill>
              </a:rPr>
              <a:t>Experience</a:t>
            </a:r>
            <a:r>
              <a:rPr lang="en-IN" sz="1100" b="1" baseline="0">
                <a:solidFill>
                  <a:schemeClr val="accent4">
                    <a:lumMod val="50000"/>
                  </a:schemeClr>
                </a:solidFill>
              </a:rPr>
              <a:t> Level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75000"/>
            </a:schemeClr>
          </a:solidFill>
          <a:ln w="19050">
            <a:solidFill>
              <a:schemeClr val="lt1"/>
            </a:solidFill>
          </a:ln>
          <a:effectLst/>
        </c:spPr>
      </c:pivotFmt>
      <c:pivotFmt>
        <c:idx val="2"/>
        <c:spPr>
          <a:solidFill>
            <a:schemeClr val="accent5">
              <a:lumMod val="75000"/>
            </a:schemeClr>
          </a:solidFill>
          <a:ln w="19050">
            <a:solidFill>
              <a:schemeClr val="lt1"/>
            </a:solidFill>
          </a:ln>
          <a:effectLst/>
        </c:spPr>
      </c:pivotFmt>
      <c:pivotFmt>
        <c:idx val="3"/>
        <c:spPr>
          <a:solidFill>
            <a:schemeClr val="accent6">
              <a:lumMod val="75000"/>
            </a:schemeClr>
          </a:solidFill>
          <a:ln w="19050">
            <a:solidFill>
              <a:schemeClr val="lt1"/>
            </a:solidFill>
          </a:ln>
          <a:effectLst/>
        </c:spPr>
      </c:pivotFmt>
    </c:pivotFmts>
    <c:plotArea>
      <c:layout>
        <c:manualLayout>
          <c:layoutTarget val="inner"/>
          <c:xMode val="edge"/>
          <c:yMode val="edge"/>
          <c:x val="0.21919728783902012"/>
          <c:y val="0.22241952206982954"/>
          <c:w val="0.40752765769895583"/>
          <c:h val="0.66596008076774993"/>
        </c:manualLayout>
      </c:layout>
      <c:doughnutChart>
        <c:varyColors val="1"/>
        <c:ser>
          <c:idx val="0"/>
          <c:order val="0"/>
          <c:tx>
            <c:strRef>
              <c:f>Pivots!$C$93</c:f>
              <c:strCache>
                <c:ptCount val="1"/>
                <c:pt idx="0">
                  <c:v>Total</c:v>
                </c:pt>
              </c:strCache>
            </c:strRef>
          </c:tx>
          <c:dPt>
            <c:idx val="0"/>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6-5B75-4BD8-9F5F-4492EF2FAD91}"/>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7-5B75-4BD8-9F5F-4492EF2FAD91}"/>
              </c:ext>
            </c:extLst>
          </c:dPt>
          <c:dPt>
            <c:idx val="2"/>
            <c:bubble3D val="0"/>
            <c:spPr>
              <a:solidFill>
                <a:schemeClr val="accent4">
                  <a:lumMod val="75000"/>
                </a:schemeClr>
              </a:solidFill>
              <a:ln w="19050">
                <a:solidFill>
                  <a:schemeClr val="lt1"/>
                </a:solidFill>
              </a:ln>
              <a:effectLst/>
            </c:spPr>
            <c:extLst>
              <c:ext xmlns:c16="http://schemas.microsoft.com/office/drawing/2014/chart" uri="{C3380CC4-5D6E-409C-BE32-E72D297353CC}">
                <c16:uniqueId val="{00000005-5B75-4BD8-9F5F-4492EF2FAD91}"/>
              </c:ext>
            </c:extLst>
          </c:dPt>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Pivots!$B$94:$B$97</c:f>
              <c:strCache>
                <c:ptCount val="3"/>
                <c:pt idx="0">
                  <c:v>Junior</c:v>
                </c:pt>
                <c:pt idx="1">
                  <c:v>Mid-Level</c:v>
                </c:pt>
                <c:pt idx="2">
                  <c:v>Senior</c:v>
                </c:pt>
              </c:strCache>
            </c:strRef>
          </c:cat>
          <c:val>
            <c:numRef>
              <c:f>Pivots!$C$94:$C$97</c:f>
              <c:numCache>
                <c:formatCode>General</c:formatCode>
                <c:ptCount val="3"/>
                <c:pt idx="0">
                  <c:v>148</c:v>
                </c:pt>
                <c:pt idx="1">
                  <c:v>174</c:v>
                </c:pt>
                <c:pt idx="2">
                  <c:v>678</c:v>
                </c:pt>
              </c:numCache>
            </c:numRef>
          </c:val>
          <c:extLst>
            <c:ext xmlns:c16="http://schemas.microsoft.com/office/drawing/2014/chart" uri="{C3380CC4-5D6E-409C-BE32-E72D297353CC}">
              <c16:uniqueId val="{00000000-5B75-4BD8-9F5F-4492EF2FAD9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69927547355970254"/>
          <c:y val="0.48067891839747623"/>
          <c:w val="0.18817463317989391"/>
          <c:h val="0.2993369762934455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27215</xdr:colOff>
      <xdr:row>2</xdr:row>
      <xdr:rowOff>0</xdr:rowOff>
    </xdr:from>
    <xdr:to>
      <xdr:col>5</xdr:col>
      <xdr:colOff>476250</xdr:colOff>
      <xdr:row>7</xdr:row>
      <xdr:rowOff>123825</xdr:rowOff>
    </xdr:to>
    <xdr:sp macro="" textlink="KPI!B3">
      <xdr:nvSpPr>
        <xdr:cNvPr id="2" name="Rectangle 1">
          <a:extLst>
            <a:ext uri="{FF2B5EF4-FFF2-40B4-BE49-F238E27FC236}">
              <a16:creationId xmlns:a16="http://schemas.microsoft.com/office/drawing/2014/main" id="{F0606E76-CF1E-BE77-B1EE-C62D780E852B}"/>
            </a:ext>
          </a:extLst>
        </xdr:cNvPr>
        <xdr:cNvSpPr/>
      </xdr:nvSpPr>
      <xdr:spPr>
        <a:xfrm>
          <a:off x="1020536" y="381000"/>
          <a:ext cx="1673678" cy="1076325"/>
        </a:xfrm>
        <a:prstGeom prst="rect">
          <a:avLst/>
        </a:prstGeom>
        <a:solidFill>
          <a:schemeClr val="accent4">
            <a:lumMod val="75000"/>
          </a:schemeClr>
        </a:solidFill>
        <a:ln>
          <a:noFill/>
        </a:ln>
        <a:effectLst>
          <a:outerShdw blurRad="50800" dist="88900" algn="ctr" rotWithShape="0">
            <a:schemeClr val="accent4">
              <a:lumMod val="60000"/>
              <a:lumOff val="40000"/>
              <a:alpha val="75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E0BC297-5595-4370-B264-EA996DB16B33}" type="TxLink">
            <a:rPr lang="en-US" sz="2400" b="1" i="0" u="none" strike="noStrike">
              <a:solidFill>
                <a:schemeClr val="bg1"/>
              </a:solidFill>
              <a:latin typeface="+mn-lt"/>
              <a:ea typeface="Calibri"/>
              <a:cs typeface="Calibri"/>
            </a:rPr>
            <a:pPr algn="ctr"/>
            <a:t>1000</a:t>
          </a:fld>
          <a:endParaRPr lang="en-IN" sz="2400" b="1">
            <a:solidFill>
              <a:schemeClr val="bg1"/>
            </a:solidFill>
            <a:latin typeface="+mn-lt"/>
          </a:endParaRPr>
        </a:p>
      </xdr:txBody>
    </xdr:sp>
    <xdr:clientData/>
  </xdr:twoCellAnchor>
  <xdr:twoCellAnchor>
    <xdr:from>
      <xdr:col>11</xdr:col>
      <xdr:colOff>299357</xdr:colOff>
      <xdr:row>2</xdr:row>
      <xdr:rowOff>0</xdr:rowOff>
    </xdr:from>
    <xdr:to>
      <xdr:col>14</xdr:col>
      <xdr:colOff>190500</xdr:colOff>
      <xdr:row>7</xdr:row>
      <xdr:rowOff>122464</xdr:rowOff>
    </xdr:to>
    <xdr:sp macro="" textlink="KPI!B7">
      <xdr:nvSpPr>
        <xdr:cNvPr id="6" name="Rectangle 5">
          <a:extLst>
            <a:ext uri="{FF2B5EF4-FFF2-40B4-BE49-F238E27FC236}">
              <a16:creationId xmlns:a16="http://schemas.microsoft.com/office/drawing/2014/main" id="{C59170B3-FD86-495A-894C-59DDB49E5A61}"/>
            </a:ext>
          </a:extLst>
        </xdr:cNvPr>
        <xdr:cNvSpPr/>
      </xdr:nvSpPr>
      <xdr:spPr>
        <a:xfrm>
          <a:off x="6191250" y="381000"/>
          <a:ext cx="1728107" cy="1074964"/>
        </a:xfrm>
        <a:prstGeom prst="rect">
          <a:avLst/>
        </a:prstGeom>
        <a:solidFill>
          <a:schemeClr val="accent4">
            <a:lumMod val="75000"/>
          </a:schemeClr>
        </a:solidFill>
        <a:ln>
          <a:noFill/>
        </a:ln>
        <a:effectLst>
          <a:outerShdw blurRad="50800" dist="88900" algn="ctr" rotWithShape="0">
            <a:schemeClr val="accent4">
              <a:lumMod val="60000"/>
              <a:lumOff val="40000"/>
              <a:alpha val="75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A0A7663-759B-4343-AA63-0B7F525B617A}" type="TxLink">
            <a:rPr lang="en-US" sz="2400" b="1" i="0" u="none" strike="noStrike">
              <a:solidFill>
                <a:schemeClr val="bg1"/>
              </a:solidFill>
              <a:latin typeface="Calibri"/>
              <a:ea typeface="Calibri"/>
              <a:cs typeface="Calibri"/>
            </a:rPr>
            <a:pPr algn="ctr"/>
            <a:t>$70,959</a:t>
          </a:fld>
          <a:endParaRPr lang="en-IN" sz="2400" b="1">
            <a:solidFill>
              <a:schemeClr val="bg1"/>
            </a:solidFill>
            <a:latin typeface="Britannic Bold" panose="020B0903060703020204" pitchFamily="34" charset="0"/>
          </a:endParaRPr>
        </a:p>
      </xdr:txBody>
    </xdr:sp>
    <xdr:clientData/>
  </xdr:twoCellAnchor>
  <xdr:twoCellAnchor>
    <xdr:from>
      <xdr:col>14</xdr:col>
      <xdr:colOff>258537</xdr:colOff>
      <xdr:row>2</xdr:row>
      <xdr:rowOff>1</xdr:rowOff>
    </xdr:from>
    <xdr:to>
      <xdr:col>17</xdr:col>
      <xdr:colOff>95251</xdr:colOff>
      <xdr:row>7</xdr:row>
      <xdr:rowOff>122465</xdr:rowOff>
    </xdr:to>
    <xdr:sp macro="" textlink="">
      <xdr:nvSpPr>
        <xdr:cNvPr id="7" name="Rectangle 6">
          <a:extLst>
            <a:ext uri="{FF2B5EF4-FFF2-40B4-BE49-F238E27FC236}">
              <a16:creationId xmlns:a16="http://schemas.microsoft.com/office/drawing/2014/main" id="{AA243450-B0DD-4F6F-ACE8-B137BCC42745}"/>
            </a:ext>
          </a:extLst>
        </xdr:cNvPr>
        <xdr:cNvSpPr/>
      </xdr:nvSpPr>
      <xdr:spPr>
        <a:xfrm>
          <a:off x="7987394" y="381001"/>
          <a:ext cx="1673678" cy="1074964"/>
        </a:xfrm>
        <a:prstGeom prst="rect">
          <a:avLst/>
        </a:prstGeom>
        <a:solidFill>
          <a:schemeClr val="accent4">
            <a:lumMod val="75000"/>
          </a:schemeClr>
        </a:solidFill>
        <a:ln>
          <a:noFill/>
        </a:ln>
        <a:effectLst>
          <a:outerShdw blurRad="50800" dist="88900" algn="ctr" rotWithShape="0">
            <a:schemeClr val="accent4">
              <a:lumMod val="60000"/>
              <a:lumOff val="40000"/>
              <a:alpha val="75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solidFill>
                <a:schemeClr val="bg1"/>
              </a:solidFill>
            </a:rPr>
            <a:t>10.06</a:t>
          </a:r>
        </a:p>
      </xdr:txBody>
    </xdr:sp>
    <xdr:clientData/>
  </xdr:twoCellAnchor>
  <xdr:twoCellAnchor>
    <xdr:from>
      <xdr:col>17</xdr:col>
      <xdr:colOff>149680</xdr:colOff>
      <xdr:row>2</xdr:row>
      <xdr:rowOff>1</xdr:rowOff>
    </xdr:from>
    <xdr:to>
      <xdr:col>19</xdr:col>
      <xdr:colOff>606881</xdr:colOff>
      <xdr:row>7</xdr:row>
      <xdr:rowOff>114301</xdr:rowOff>
    </xdr:to>
    <xdr:sp macro="" textlink="KPI!B9">
      <xdr:nvSpPr>
        <xdr:cNvPr id="9" name="Rectangle 8">
          <a:extLst>
            <a:ext uri="{FF2B5EF4-FFF2-40B4-BE49-F238E27FC236}">
              <a16:creationId xmlns:a16="http://schemas.microsoft.com/office/drawing/2014/main" id="{6576FF16-7BFF-4601-92FD-96AAB23E3D52}"/>
            </a:ext>
          </a:extLst>
        </xdr:cNvPr>
        <xdr:cNvSpPr/>
      </xdr:nvSpPr>
      <xdr:spPr>
        <a:xfrm>
          <a:off x="9715501" y="381001"/>
          <a:ext cx="1681844" cy="1066800"/>
        </a:xfrm>
        <a:prstGeom prst="rect">
          <a:avLst/>
        </a:prstGeom>
        <a:solidFill>
          <a:schemeClr val="accent4">
            <a:lumMod val="75000"/>
          </a:schemeClr>
        </a:solidFill>
        <a:ln>
          <a:noFill/>
        </a:ln>
        <a:effectLst>
          <a:outerShdw blurRad="50800" dist="88900" algn="ctr" rotWithShape="0">
            <a:schemeClr val="accent4">
              <a:lumMod val="60000"/>
              <a:lumOff val="40000"/>
              <a:alpha val="75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D62B175-503B-4C45-83FF-97645171AE8B}" type="TxLink">
            <a:rPr lang="en-US" sz="2400" b="1" i="0" u="none" strike="noStrike">
              <a:solidFill>
                <a:schemeClr val="bg1"/>
              </a:solidFill>
              <a:latin typeface="Calibri"/>
              <a:ea typeface="Calibri"/>
              <a:cs typeface="Calibri"/>
            </a:rPr>
            <a:pPr algn="ctr"/>
            <a:t>3.033</a:t>
          </a:fld>
          <a:endParaRPr lang="en-IN" sz="2400" b="1">
            <a:solidFill>
              <a:schemeClr val="bg1"/>
            </a:solidFill>
            <a:latin typeface="Britannic Bold" panose="020B0903060703020204" pitchFamily="34" charset="0"/>
          </a:endParaRPr>
        </a:p>
      </xdr:txBody>
    </xdr:sp>
    <xdr:clientData/>
  </xdr:twoCellAnchor>
  <xdr:twoCellAnchor>
    <xdr:from>
      <xdr:col>3</xdr:col>
      <xdr:colOff>225878</xdr:colOff>
      <xdr:row>2</xdr:row>
      <xdr:rowOff>78923</xdr:rowOff>
    </xdr:from>
    <xdr:to>
      <xdr:col>5</xdr:col>
      <xdr:colOff>258535</xdr:colOff>
      <xdr:row>3</xdr:row>
      <xdr:rowOff>149679</xdr:rowOff>
    </xdr:to>
    <xdr:sp macro="" textlink="">
      <xdr:nvSpPr>
        <xdr:cNvPr id="10" name="TextBox 9">
          <a:extLst>
            <a:ext uri="{FF2B5EF4-FFF2-40B4-BE49-F238E27FC236}">
              <a16:creationId xmlns:a16="http://schemas.microsoft.com/office/drawing/2014/main" id="{BA70B820-92F1-E125-79A3-B06F60FFD7A9}"/>
            </a:ext>
          </a:extLst>
        </xdr:cNvPr>
        <xdr:cNvSpPr txBox="1"/>
      </xdr:nvSpPr>
      <xdr:spPr>
        <a:xfrm>
          <a:off x="1219199" y="459923"/>
          <a:ext cx="1257300" cy="261256"/>
        </a:xfrm>
        <a:prstGeom prst="rect">
          <a:avLst/>
        </a:prstGeom>
        <a:solidFill>
          <a:schemeClr val="accent4">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200" b="1">
              <a:solidFill>
                <a:schemeClr val="bg1"/>
              </a:solidFill>
            </a:rPr>
            <a:t>Total Employees</a:t>
          </a:r>
        </a:p>
      </xdr:txBody>
    </xdr:sp>
    <xdr:clientData/>
  </xdr:twoCellAnchor>
  <xdr:twoCellAnchor>
    <xdr:from>
      <xdr:col>12</xdr:col>
      <xdr:colOff>10750</xdr:colOff>
      <xdr:row>2</xdr:row>
      <xdr:rowOff>83876</xdr:rowOff>
    </xdr:from>
    <xdr:to>
      <xdr:col>13</xdr:col>
      <xdr:colOff>574222</xdr:colOff>
      <xdr:row>3</xdr:row>
      <xdr:rowOff>110784</xdr:rowOff>
    </xdr:to>
    <xdr:sp macro="" textlink="">
      <xdr:nvSpPr>
        <xdr:cNvPr id="14" name="TextBox 13">
          <a:extLst>
            <a:ext uri="{FF2B5EF4-FFF2-40B4-BE49-F238E27FC236}">
              <a16:creationId xmlns:a16="http://schemas.microsoft.com/office/drawing/2014/main" id="{1EE09037-5269-9195-ED56-AA494957333D}"/>
            </a:ext>
          </a:extLst>
        </xdr:cNvPr>
        <xdr:cNvSpPr txBox="1"/>
      </xdr:nvSpPr>
      <xdr:spPr>
        <a:xfrm>
          <a:off x="6514964" y="464876"/>
          <a:ext cx="1175794" cy="217408"/>
        </a:xfrm>
        <a:prstGeom prst="rect">
          <a:avLst/>
        </a:prstGeom>
        <a:solidFill>
          <a:schemeClr val="accent4">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200" b="1">
              <a:solidFill>
                <a:schemeClr val="bg1"/>
              </a:solidFill>
            </a:rPr>
            <a:t>Average</a:t>
          </a:r>
          <a:r>
            <a:rPr lang="en-IN" sz="1100" b="1">
              <a:solidFill>
                <a:schemeClr val="bg1"/>
              </a:solidFill>
            </a:rPr>
            <a:t> </a:t>
          </a:r>
          <a:r>
            <a:rPr lang="en-IN" sz="1200" b="1">
              <a:solidFill>
                <a:schemeClr val="bg1"/>
              </a:solidFill>
            </a:rPr>
            <a:t>Salary</a:t>
          </a:r>
          <a:endParaRPr lang="en-IN" sz="1100" b="1">
            <a:solidFill>
              <a:schemeClr val="bg1"/>
            </a:solidFill>
          </a:endParaRPr>
        </a:p>
      </xdr:txBody>
    </xdr:sp>
    <xdr:clientData/>
  </xdr:twoCellAnchor>
  <xdr:twoCellAnchor>
    <xdr:from>
      <xdr:col>14</xdr:col>
      <xdr:colOff>525378</xdr:colOff>
      <xdr:row>2</xdr:row>
      <xdr:rowOff>61231</xdr:rowOff>
    </xdr:from>
    <xdr:to>
      <xdr:col>16</xdr:col>
      <xdr:colOff>557892</xdr:colOff>
      <xdr:row>4</xdr:row>
      <xdr:rowOff>0</xdr:rowOff>
    </xdr:to>
    <xdr:sp macro="" textlink="">
      <xdr:nvSpPr>
        <xdr:cNvPr id="15" name="TextBox 14">
          <a:extLst>
            <a:ext uri="{FF2B5EF4-FFF2-40B4-BE49-F238E27FC236}">
              <a16:creationId xmlns:a16="http://schemas.microsoft.com/office/drawing/2014/main" id="{82FF23C3-07DD-A938-2B03-3A88DD930123}"/>
            </a:ext>
          </a:extLst>
        </xdr:cNvPr>
        <xdr:cNvSpPr txBox="1"/>
      </xdr:nvSpPr>
      <xdr:spPr>
        <a:xfrm>
          <a:off x="8254235" y="442231"/>
          <a:ext cx="1257157" cy="319769"/>
        </a:xfrm>
        <a:prstGeom prst="rect">
          <a:avLst/>
        </a:prstGeom>
        <a:solidFill>
          <a:schemeClr val="accent4">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200" b="1">
              <a:solidFill>
                <a:schemeClr val="bg1"/>
              </a:solidFill>
            </a:rPr>
            <a:t>Avg Experience</a:t>
          </a:r>
        </a:p>
      </xdr:txBody>
    </xdr:sp>
    <xdr:clientData/>
  </xdr:twoCellAnchor>
  <xdr:twoCellAnchor>
    <xdr:from>
      <xdr:col>17</xdr:col>
      <xdr:colOff>195288</xdr:colOff>
      <xdr:row>2</xdr:row>
      <xdr:rowOff>54428</xdr:rowOff>
    </xdr:from>
    <xdr:to>
      <xdr:col>19</xdr:col>
      <xdr:colOff>408215</xdr:colOff>
      <xdr:row>3</xdr:row>
      <xdr:rowOff>163286</xdr:rowOff>
    </xdr:to>
    <xdr:sp macro="" textlink="">
      <xdr:nvSpPr>
        <xdr:cNvPr id="16" name="TextBox 15">
          <a:extLst>
            <a:ext uri="{FF2B5EF4-FFF2-40B4-BE49-F238E27FC236}">
              <a16:creationId xmlns:a16="http://schemas.microsoft.com/office/drawing/2014/main" id="{095FB60F-DFB5-28DA-2DF0-0203E1ED068B}"/>
            </a:ext>
          </a:extLst>
        </xdr:cNvPr>
        <xdr:cNvSpPr txBox="1"/>
      </xdr:nvSpPr>
      <xdr:spPr>
        <a:xfrm>
          <a:off x="9761109" y="435428"/>
          <a:ext cx="1437570" cy="299358"/>
        </a:xfrm>
        <a:prstGeom prst="rect">
          <a:avLst/>
        </a:prstGeom>
        <a:solidFill>
          <a:schemeClr val="accent4">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200" b="1"/>
            <a:t>    </a:t>
          </a:r>
          <a:r>
            <a:rPr lang="en-IN" sz="1200" b="1">
              <a:solidFill>
                <a:schemeClr val="bg1"/>
              </a:solidFill>
            </a:rPr>
            <a:t>Avg Performance</a:t>
          </a:r>
          <a:endParaRPr lang="en-IN" sz="1100" b="1">
            <a:solidFill>
              <a:schemeClr val="bg1"/>
            </a:solidFill>
          </a:endParaRPr>
        </a:p>
      </xdr:txBody>
    </xdr:sp>
    <xdr:clientData/>
  </xdr:twoCellAnchor>
  <xdr:twoCellAnchor>
    <xdr:from>
      <xdr:col>5</xdr:col>
      <xdr:colOff>544287</xdr:colOff>
      <xdr:row>2</xdr:row>
      <xdr:rowOff>0</xdr:rowOff>
    </xdr:from>
    <xdr:to>
      <xdr:col>8</xdr:col>
      <xdr:colOff>353786</xdr:colOff>
      <xdr:row>7</xdr:row>
      <xdr:rowOff>122463</xdr:rowOff>
    </xdr:to>
    <xdr:sp macro="" textlink="KPI!B5">
      <xdr:nvSpPr>
        <xdr:cNvPr id="8" name="Rectangle 7">
          <a:extLst>
            <a:ext uri="{FF2B5EF4-FFF2-40B4-BE49-F238E27FC236}">
              <a16:creationId xmlns:a16="http://schemas.microsoft.com/office/drawing/2014/main" id="{FF98F1E6-3068-4E4E-8134-BC045A4FDA8D}"/>
            </a:ext>
          </a:extLst>
        </xdr:cNvPr>
        <xdr:cNvSpPr/>
      </xdr:nvSpPr>
      <xdr:spPr>
        <a:xfrm>
          <a:off x="2766787" y="914400"/>
          <a:ext cx="1638299" cy="1074963"/>
        </a:xfrm>
        <a:prstGeom prst="rect">
          <a:avLst/>
        </a:prstGeom>
        <a:solidFill>
          <a:schemeClr val="accent4">
            <a:lumMod val="75000"/>
          </a:schemeClr>
        </a:solidFill>
        <a:ln>
          <a:noFill/>
        </a:ln>
        <a:effectLst>
          <a:outerShdw blurRad="50800" dist="88900" algn="ctr" rotWithShape="0">
            <a:schemeClr val="accent4">
              <a:lumMod val="60000"/>
              <a:lumOff val="40000"/>
              <a:alpha val="75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A411E93-8F0C-40EF-B8EF-860F628655F4}" type="TxLink">
            <a:rPr lang="en-US" sz="2400" b="1" i="0" u="none" strike="noStrike">
              <a:solidFill>
                <a:schemeClr val="bg1"/>
              </a:solidFill>
              <a:latin typeface="+mn-lt"/>
              <a:ea typeface="Calibri"/>
              <a:cs typeface="Calibri"/>
            </a:rPr>
            <a:pPr algn="ctr"/>
            <a:t>189</a:t>
          </a:fld>
          <a:endParaRPr lang="en-IN" sz="2400" b="1">
            <a:solidFill>
              <a:schemeClr val="bg1"/>
            </a:solidFill>
            <a:latin typeface="+mn-lt"/>
          </a:endParaRPr>
        </a:p>
      </xdr:txBody>
    </xdr:sp>
    <xdr:clientData/>
  </xdr:twoCellAnchor>
  <xdr:twoCellAnchor>
    <xdr:from>
      <xdr:col>6</xdr:col>
      <xdr:colOff>204115</xdr:colOff>
      <xdr:row>2</xdr:row>
      <xdr:rowOff>95250</xdr:rowOff>
    </xdr:from>
    <xdr:to>
      <xdr:col>8</xdr:col>
      <xdr:colOff>163286</xdr:colOff>
      <xdr:row>3</xdr:row>
      <xdr:rowOff>112102</xdr:rowOff>
    </xdr:to>
    <xdr:sp macro="" textlink="">
      <xdr:nvSpPr>
        <xdr:cNvPr id="11" name="TextBox 10">
          <a:extLst>
            <a:ext uri="{FF2B5EF4-FFF2-40B4-BE49-F238E27FC236}">
              <a16:creationId xmlns:a16="http://schemas.microsoft.com/office/drawing/2014/main" id="{7183E12A-BF9F-4068-BEA1-45B79DA5C02E}"/>
            </a:ext>
          </a:extLst>
        </xdr:cNvPr>
        <xdr:cNvSpPr txBox="1"/>
      </xdr:nvSpPr>
      <xdr:spPr>
        <a:xfrm>
          <a:off x="3034401" y="476250"/>
          <a:ext cx="1183814" cy="207352"/>
        </a:xfrm>
        <a:prstGeom prst="rect">
          <a:avLst/>
        </a:prstGeom>
        <a:solidFill>
          <a:schemeClr val="accent4">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200" b="1">
              <a:solidFill>
                <a:schemeClr val="bg1"/>
              </a:solidFill>
            </a:rPr>
            <a:t>Employees</a:t>
          </a:r>
          <a:r>
            <a:rPr lang="en-IN" sz="1200">
              <a:solidFill>
                <a:schemeClr val="bg1"/>
              </a:solidFill>
            </a:rPr>
            <a:t> </a:t>
          </a:r>
          <a:r>
            <a:rPr lang="en-IN" sz="1200" b="1">
              <a:solidFill>
                <a:schemeClr val="bg1"/>
              </a:solidFill>
            </a:rPr>
            <a:t>Left</a:t>
          </a:r>
        </a:p>
      </xdr:txBody>
    </xdr:sp>
    <xdr:clientData/>
  </xdr:twoCellAnchor>
  <xdr:twoCellAnchor>
    <xdr:from>
      <xdr:col>8</xdr:col>
      <xdr:colOff>435429</xdr:colOff>
      <xdr:row>2</xdr:row>
      <xdr:rowOff>0</xdr:rowOff>
    </xdr:from>
    <xdr:to>
      <xdr:col>11</xdr:col>
      <xdr:colOff>231321</xdr:colOff>
      <xdr:row>7</xdr:row>
      <xdr:rowOff>122464</xdr:rowOff>
    </xdr:to>
    <xdr:sp macro="" textlink="KPI!B6">
      <xdr:nvSpPr>
        <xdr:cNvPr id="12" name="Rectangle 11">
          <a:extLst>
            <a:ext uri="{FF2B5EF4-FFF2-40B4-BE49-F238E27FC236}">
              <a16:creationId xmlns:a16="http://schemas.microsoft.com/office/drawing/2014/main" id="{4AB28B51-F13C-4632-977E-CB12EFC8B2F8}"/>
            </a:ext>
          </a:extLst>
        </xdr:cNvPr>
        <xdr:cNvSpPr/>
      </xdr:nvSpPr>
      <xdr:spPr>
        <a:xfrm>
          <a:off x="4490358" y="381000"/>
          <a:ext cx="1632856" cy="1074964"/>
        </a:xfrm>
        <a:prstGeom prst="rect">
          <a:avLst/>
        </a:prstGeom>
        <a:solidFill>
          <a:schemeClr val="accent4">
            <a:lumMod val="75000"/>
          </a:schemeClr>
        </a:solidFill>
        <a:ln>
          <a:noFill/>
        </a:ln>
        <a:effectLst>
          <a:outerShdw blurRad="50800" dist="88900" algn="ctr" rotWithShape="0">
            <a:schemeClr val="accent4">
              <a:lumMod val="60000"/>
              <a:lumOff val="40000"/>
              <a:alpha val="75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AFF12E0-7808-4198-8AEA-8F142D98070D}" type="TxLink">
            <a:rPr lang="en-US" sz="2400" b="1" i="0" u="none" strike="noStrike">
              <a:solidFill>
                <a:schemeClr val="bg1"/>
              </a:solidFill>
              <a:latin typeface="Calibri"/>
              <a:ea typeface="Calibri"/>
              <a:cs typeface="Calibri"/>
            </a:rPr>
            <a:pPr algn="ctr"/>
            <a:t>19%</a:t>
          </a:fld>
          <a:endParaRPr lang="en-IN" sz="2400" b="1">
            <a:solidFill>
              <a:schemeClr val="bg1"/>
            </a:solidFill>
            <a:latin typeface="Britannic Bold" panose="020B0903060703020204" pitchFamily="34" charset="0"/>
          </a:endParaRPr>
        </a:p>
      </xdr:txBody>
    </xdr:sp>
    <xdr:clientData/>
  </xdr:twoCellAnchor>
  <xdr:twoCellAnchor>
    <xdr:from>
      <xdr:col>9</xdr:col>
      <xdr:colOff>141512</xdr:colOff>
      <xdr:row>2</xdr:row>
      <xdr:rowOff>95250</xdr:rowOff>
    </xdr:from>
    <xdr:to>
      <xdr:col>11</xdr:col>
      <xdr:colOff>40821</xdr:colOff>
      <xdr:row>3</xdr:row>
      <xdr:rowOff>136070</xdr:rowOff>
    </xdr:to>
    <xdr:sp macro="" textlink="">
      <xdr:nvSpPr>
        <xdr:cNvPr id="17" name="TextBox 16">
          <a:extLst>
            <a:ext uri="{FF2B5EF4-FFF2-40B4-BE49-F238E27FC236}">
              <a16:creationId xmlns:a16="http://schemas.microsoft.com/office/drawing/2014/main" id="{3CB18A07-B879-4586-B962-75F95722DE40}"/>
            </a:ext>
          </a:extLst>
        </xdr:cNvPr>
        <xdr:cNvSpPr txBox="1"/>
      </xdr:nvSpPr>
      <xdr:spPr>
        <a:xfrm>
          <a:off x="4808762" y="476250"/>
          <a:ext cx="1123952" cy="231320"/>
        </a:xfrm>
        <a:prstGeom prst="rect">
          <a:avLst/>
        </a:prstGeom>
        <a:solidFill>
          <a:schemeClr val="accent4">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200" b="1">
              <a:solidFill>
                <a:schemeClr val="bg1"/>
              </a:solidFill>
            </a:rPr>
            <a:t>Attrition Rate</a:t>
          </a:r>
        </a:p>
      </xdr:txBody>
    </xdr:sp>
    <xdr:clientData/>
  </xdr:twoCellAnchor>
  <xdr:twoCellAnchor>
    <xdr:from>
      <xdr:col>6</xdr:col>
      <xdr:colOff>100692</xdr:colOff>
      <xdr:row>7</xdr:row>
      <xdr:rowOff>174171</xdr:rowOff>
    </xdr:from>
    <xdr:to>
      <xdr:col>11</xdr:col>
      <xdr:colOff>224518</xdr:colOff>
      <xdr:row>18</xdr:row>
      <xdr:rowOff>136071</xdr:rowOff>
    </xdr:to>
    <xdr:graphicFrame macro="">
      <xdr:nvGraphicFramePr>
        <xdr:cNvPr id="20" name="Emp Depart">
          <a:extLst>
            <a:ext uri="{FF2B5EF4-FFF2-40B4-BE49-F238E27FC236}">
              <a16:creationId xmlns:a16="http://schemas.microsoft.com/office/drawing/2014/main" id="{EC792441-462C-452E-9D75-5F7A143C39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266701</xdr:colOff>
      <xdr:row>9</xdr:row>
      <xdr:rowOff>66675</xdr:rowOff>
    </xdr:from>
    <xdr:to>
      <xdr:col>14</xdr:col>
      <xdr:colOff>557893</xdr:colOff>
      <xdr:row>17</xdr:row>
      <xdr:rowOff>13606</xdr:rowOff>
    </xdr:to>
    <xdr:graphicFrame macro="">
      <xdr:nvGraphicFramePr>
        <xdr:cNvPr id="3" name="Gender Distri">
          <a:extLst>
            <a:ext uri="{FF2B5EF4-FFF2-40B4-BE49-F238E27FC236}">
              <a16:creationId xmlns:a16="http://schemas.microsoft.com/office/drawing/2014/main" id="{82F62A86-B40A-44BA-A4A3-EFB0525C36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608240</xdr:colOff>
      <xdr:row>8</xdr:row>
      <xdr:rowOff>2722</xdr:rowOff>
    </xdr:from>
    <xdr:to>
      <xdr:col>20</xdr:col>
      <xdr:colOff>-1</xdr:colOff>
      <xdr:row>18</xdr:row>
      <xdr:rowOff>27213</xdr:rowOff>
    </xdr:to>
    <xdr:graphicFrame macro="">
      <xdr:nvGraphicFramePr>
        <xdr:cNvPr id="4" name="Attri Depart">
          <a:extLst>
            <a:ext uri="{FF2B5EF4-FFF2-40B4-BE49-F238E27FC236}">
              <a16:creationId xmlns:a16="http://schemas.microsoft.com/office/drawing/2014/main" id="{65EA2602-259A-4BE3-940E-035873C908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3</xdr:col>
      <xdr:colOff>23132</xdr:colOff>
      <xdr:row>24</xdr:row>
      <xdr:rowOff>61232</xdr:rowOff>
    </xdr:from>
    <xdr:to>
      <xdr:col>6</xdr:col>
      <xdr:colOff>23132</xdr:colOff>
      <xdr:row>29</xdr:row>
      <xdr:rowOff>118381</xdr:rowOff>
    </xdr:to>
    <mc:AlternateContent xmlns:mc="http://schemas.openxmlformats.org/markup-compatibility/2006">
      <mc:Choice xmlns:a14="http://schemas.microsoft.com/office/drawing/2010/main" Requires="a14">
        <xdr:graphicFrame macro="">
          <xdr:nvGraphicFramePr>
            <xdr:cNvPr id="5" name="Attrition 1">
              <a:extLst>
                <a:ext uri="{FF2B5EF4-FFF2-40B4-BE49-F238E27FC236}">
                  <a16:creationId xmlns:a16="http://schemas.microsoft.com/office/drawing/2014/main" id="{0711C5EA-E2E8-46C1-A50E-6378FA8A728F}"/>
                </a:ext>
              </a:extLst>
            </xdr:cNvPr>
            <xdr:cNvGraphicFramePr/>
          </xdr:nvGraphicFramePr>
          <xdr:xfrm>
            <a:off x="0" y="0"/>
            <a:ext cx="0" cy="0"/>
          </xdr:xfrm>
          <a:graphic>
            <a:graphicData uri="http://schemas.microsoft.com/office/drawing/2010/slicer">
              <sle:slicer xmlns:sle="http://schemas.microsoft.com/office/drawing/2010/slicer" name="Attrition 1"/>
            </a:graphicData>
          </a:graphic>
        </xdr:graphicFrame>
      </mc:Choice>
      <mc:Fallback>
        <xdr:sp macro="" textlink="">
          <xdr:nvSpPr>
            <xdr:cNvPr id="0" name=""/>
            <xdr:cNvSpPr>
              <a:spLocks noTextEdit="1"/>
            </xdr:cNvSpPr>
          </xdr:nvSpPr>
          <xdr:spPr>
            <a:xfrm>
              <a:off x="1019594" y="5673655"/>
              <a:ext cx="1846384" cy="10096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19049</xdr:colOff>
      <xdr:row>13</xdr:row>
      <xdr:rowOff>83004</xdr:rowOff>
    </xdr:from>
    <xdr:to>
      <xdr:col>6</xdr:col>
      <xdr:colOff>27213</xdr:colOff>
      <xdr:row>23</xdr:row>
      <xdr:rowOff>187779</xdr:rowOff>
    </xdr:to>
    <mc:AlternateContent xmlns:mc="http://schemas.openxmlformats.org/markup-compatibility/2006">
      <mc:Choice xmlns:a14="http://schemas.microsoft.com/office/drawing/2010/main" Requires="a14">
        <xdr:graphicFrame macro="">
          <xdr:nvGraphicFramePr>
            <xdr:cNvPr id="13" name="Department 1">
              <a:extLst>
                <a:ext uri="{FF2B5EF4-FFF2-40B4-BE49-F238E27FC236}">
                  <a16:creationId xmlns:a16="http://schemas.microsoft.com/office/drawing/2014/main" id="{768FA4FE-5EFE-407B-AEF5-F02CBB4FFEE0}"/>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1015511" y="3599927"/>
              <a:ext cx="1854548" cy="20097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13609</xdr:colOff>
      <xdr:row>8</xdr:row>
      <xdr:rowOff>9525</xdr:rowOff>
    </xdr:from>
    <xdr:to>
      <xdr:col>6</xdr:col>
      <xdr:colOff>13608</xdr:colOff>
      <xdr:row>13</xdr:row>
      <xdr:rowOff>28575</xdr:rowOff>
    </xdr:to>
    <mc:AlternateContent xmlns:mc="http://schemas.openxmlformats.org/markup-compatibility/2006">
      <mc:Choice xmlns:a14="http://schemas.microsoft.com/office/drawing/2010/main" Requires="a14">
        <xdr:graphicFrame macro="">
          <xdr:nvGraphicFramePr>
            <xdr:cNvPr id="18" name="Gender 1">
              <a:extLst>
                <a:ext uri="{FF2B5EF4-FFF2-40B4-BE49-F238E27FC236}">
                  <a16:creationId xmlns:a16="http://schemas.microsoft.com/office/drawing/2014/main" id="{0E1C7CF9-52D6-4833-8CA6-8D09EA7BEB69}"/>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1010071" y="2573948"/>
              <a:ext cx="1846383" cy="9715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84364</xdr:colOff>
      <xdr:row>19</xdr:row>
      <xdr:rowOff>0</xdr:rowOff>
    </xdr:from>
    <xdr:to>
      <xdr:col>11</xdr:col>
      <xdr:colOff>176893</xdr:colOff>
      <xdr:row>29</xdr:row>
      <xdr:rowOff>107497</xdr:rowOff>
    </xdr:to>
    <xdr:graphicFrame macro="">
      <xdr:nvGraphicFramePr>
        <xdr:cNvPr id="22" name="Chart 21">
          <a:extLst>
            <a:ext uri="{FF2B5EF4-FFF2-40B4-BE49-F238E27FC236}">
              <a16:creationId xmlns:a16="http://schemas.microsoft.com/office/drawing/2014/main" id="{8AB92894-BAE0-4B78-8B40-559275B79D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227239</xdr:colOff>
      <xdr:row>18</xdr:row>
      <xdr:rowOff>48986</xdr:rowOff>
    </xdr:from>
    <xdr:to>
      <xdr:col>15</xdr:col>
      <xdr:colOff>517070</xdr:colOff>
      <xdr:row>29</xdr:row>
      <xdr:rowOff>122464</xdr:rowOff>
    </xdr:to>
    <xdr:graphicFrame macro="">
      <xdr:nvGraphicFramePr>
        <xdr:cNvPr id="23" name="Chart 22">
          <a:extLst>
            <a:ext uri="{FF2B5EF4-FFF2-40B4-BE49-F238E27FC236}">
              <a16:creationId xmlns:a16="http://schemas.microsoft.com/office/drawing/2014/main" id="{4F93930C-6FB1-4DE4-BE36-5B2863149F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548366</xdr:colOff>
      <xdr:row>18</xdr:row>
      <xdr:rowOff>54429</xdr:rowOff>
    </xdr:from>
    <xdr:to>
      <xdr:col>19</xdr:col>
      <xdr:colOff>595992</xdr:colOff>
      <xdr:row>29</xdr:row>
      <xdr:rowOff>122464</xdr:rowOff>
    </xdr:to>
    <xdr:graphicFrame macro="">
      <xdr:nvGraphicFramePr>
        <xdr:cNvPr id="21" name="Chart 20">
          <a:extLst>
            <a:ext uri="{FF2B5EF4-FFF2-40B4-BE49-F238E27FC236}">
              <a16:creationId xmlns:a16="http://schemas.microsoft.com/office/drawing/2014/main" id="{A843027A-5A0F-4FAC-9A58-461D2F3216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571500</xdr:colOff>
      <xdr:row>1</xdr:row>
      <xdr:rowOff>203200</xdr:rowOff>
    </xdr:from>
    <xdr:to>
      <xdr:col>10</xdr:col>
      <xdr:colOff>228600</xdr:colOff>
      <xdr:row>1</xdr:row>
      <xdr:rowOff>647700</xdr:rowOff>
    </xdr:to>
    <xdr:sp macro="" textlink="">
      <xdr:nvSpPr>
        <xdr:cNvPr id="19" name="TextBox 18">
          <a:extLst>
            <a:ext uri="{FF2B5EF4-FFF2-40B4-BE49-F238E27FC236}">
              <a16:creationId xmlns:a16="http://schemas.microsoft.com/office/drawing/2014/main" id="{CA4F21CE-941F-5765-4732-16358A312D5C}"/>
            </a:ext>
          </a:extLst>
        </xdr:cNvPr>
        <xdr:cNvSpPr txBox="1"/>
      </xdr:nvSpPr>
      <xdr:spPr>
        <a:xfrm>
          <a:off x="1574800" y="393700"/>
          <a:ext cx="3924300" cy="444500"/>
        </a:xfrm>
        <a:prstGeom prst="rect">
          <a:avLst/>
        </a:prstGeom>
        <a:solidFill>
          <a:schemeClr val="accent4">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2800" b="1">
              <a:solidFill>
                <a:schemeClr val="accent4">
                  <a:lumMod val="50000"/>
                </a:schemeClr>
              </a:solidFill>
            </a:rPr>
            <a:t>HR Analyics Dashboard</a:t>
          </a:r>
        </a:p>
      </xdr:txBody>
    </xdr:sp>
    <xdr:clientData/>
  </xdr:twoCellAnchor>
  <xdr:twoCellAnchor>
    <xdr:from>
      <xdr:col>5</xdr:col>
      <xdr:colOff>88900</xdr:colOff>
      <xdr:row>1</xdr:row>
      <xdr:rowOff>685800</xdr:rowOff>
    </xdr:from>
    <xdr:to>
      <xdr:col>13</xdr:col>
      <xdr:colOff>25400</xdr:colOff>
      <xdr:row>1</xdr:row>
      <xdr:rowOff>990600</xdr:rowOff>
    </xdr:to>
    <xdr:sp macro="" textlink="">
      <xdr:nvSpPr>
        <xdr:cNvPr id="26" name="TextBox 25">
          <a:extLst>
            <a:ext uri="{FF2B5EF4-FFF2-40B4-BE49-F238E27FC236}">
              <a16:creationId xmlns:a16="http://schemas.microsoft.com/office/drawing/2014/main" id="{81C28400-2E00-1EE9-0C43-A952E9A607BC}"/>
            </a:ext>
          </a:extLst>
        </xdr:cNvPr>
        <xdr:cNvSpPr txBox="1"/>
      </xdr:nvSpPr>
      <xdr:spPr>
        <a:xfrm>
          <a:off x="2311400" y="876300"/>
          <a:ext cx="4813300" cy="304800"/>
        </a:xfrm>
        <a:prstGeom prst="rect">
          <a:avLst/>
        </a:prstGeom>
        <a:solidFill>
          <a:schemeClr val="accent4">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solidFill>
                <a:schemeClr val="accent4">
                  <a:lumMod val="50000"/>
                </a:schemeClr>
              </a:solidFill>
            </a:rPr>
            <a:t>Employee</a:t>
          </a:r>
          <a:r>
            <a:rPr lang="en-IN" sz="1600" baseline="0">
              <a:solidFill>
                <a:schemeClr val="accent4">
                  <a:lumMod val="50000"/>
                </a:schemeClr>
              </a:solidFill>
            </a:rPr>
            <a:t> Workforce, Attrition &amp; Performance</a:t>
          </a:r>
          <a:endParaRPr lang="en-IN" sz="1600">
            <a:solidFill>
              <a:schemeClr val="accent4">
                <a:lumMod val="50000"/>
              </a:schemeClr>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590550</xdr:colOff>
      <xdr:row>1</xdr:row>
      <xdr:rowOff>104775</xdr:rowOff>
    </xdr:from>
    <xdr:to>
      <xdr:col>9</xdr:col>
      <xdr:colOff>552450</xdr:colOff>
      <xdr:row>10</xdr:row>
      <xdr:rowOff>161925</xdr:rowOff>
    </xdr:to>
    <xdr:graphicFrame macro="">
      <xdr:nvGraphicFramePr>
        <xdr:cNvPr id="4" name="Emp Depart">
          <a:extLst>
            <a:ext uri="{FF2B5EF4-FFF2-40B4-BE49-F238E27FC236}">
              <a16:creationId xmlns:a16="http://schemas.microsoft.com/office/drawing/2014/main" id="{74D00496-6F72-9C2A-DC60-90D20D8784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228602</xdr:colOff>
      <xdr:row>11</xdr:row>
      <xdr:rowOff>142875</xdr:rowOff>
    </xdr:from>
    <xdr:to>
      <xdr:col>7</xdr:col>
      <xdr:colOff>466726</xdr:colOff>
      <xdr:row>22</xdr:row>
      <xdr:rowOff>152400</xdr:rowOff>
    </xdr:to>
    <xdr:graphicFrame macro="">
      <xdr:nvGraphicFramePr>
        <xdr:cNvPr id="5" name="Gender Distri">
          <a:extLst>
            <a:ext uri="{FF2B5EF4-FFF2-40B4-BE49-F238E27FC236}">
              <a16:creationId xmlns:a16="http://schemas.microsoft.com/office/drawing/2014/main" id="{D4E4AFF8-79E9-7315-1CD5-4F236378C8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466724</xdr:colOff>
      <xdr:row>23</xdr:row>
      <xdr:rowOff>138112</xdr:rowOff>
    </xdr:from>
    <xdr:to>
      <xdr:col>11</xdr:col>
      <xdr:colOff>276225</xdr:colOff>
      <xdr:row>38</xdr:row>
      <xdr:rowOff>23812</xdr:rowOff>
    </xdr:to>
    <xdr:graphicFrame macro="">
      <xdr:nvGraphicFramePr>
        <xdr:cNvPr id="6" name="Attri Depart">
          <a:extLst>
            <a:ext uri="{FF2B5EF4-FFF2-40B4-BE49-F238E27FC236}">
              <a16:creationId xmlns:a16="http://schemas.microsoft.com/office/drawing/2014/main" id="{AC3A040E-E6D6-6AFF-9142-EE2C4982C9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6</xdr:col>
      <xdr:colOff>323850</xdr:colOff>
      <xdr:row>75</xdr:row>
      <xdr:rowOff>180976</xdr:rowOff>
    </xdr:from>
    <xdr:to>
      <xdr:col>9</xdr:col>
      <xdr:colOff>323850</xdr:colOff>
      <xdr:row>81</xdr:row>
      <xdr:rowOff>9526</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3F0BEDF6-9CA2-362B-B00F-9E45567F9AC9}"/>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5448300" y="14468476"/>
              <a:ext cx="1828800" cy="9715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781050</xdr:colOff>
      <xdr:row>75</xdr:row>
      <xdr:rowOff>9526</xdr:rowOff>
    </xdr:from>
    <xdr:to>
      <xdr:col>2</xdr:col>
      <xdr:colOff>857250</xdr:colOff>
      <xdr:row>85</xdr:row>
      <xdr:rowOff>123826</xdr:rowOff>
    </xdr:to>
    <mc:AlternateContent xmlns:mc="http://schemas.openxmlformats.org/markup-compatibility/2006" xmlns:a14="http://schemas.microsoft.com/office/drawing/2010/main">
      <mc:Choice Requires="a14">
        <xdr:graphicFrame macro="">
          <xdr:nvGraphicFramePr>
            <xdr:cNvPr id="3" name="Department">
              <a:extLst>
                <a:ext uri="{FF2B5EF4-FFF2-40B4-BE49-F238E27FC236}">
                  <a16:creationId xmlns:a16="http://schemas.microsoft.com/office/drawing/2014/main" id="{5283B802-A6DE-E3C2-AD90-F822C4434F4F}"/>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781050" y="14297026"/>
              <a:ext cx="1828800" cy="2019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952500</xdr:colOff>
      <xdr:row>75</xdr:row>
      <xdr:rowOff>180976</xdr:rowOff>
    </xdr:from>
    <xdr:to>
      <xdr:col>5</xdr:col>
      <xdr:colOff>390525</xdr:colOff>
      <xdr:row>81</xdr:row>
      <xdr:rowOff>47625</xdr:rowOff>
    </xdr:to>
    <mc:AlternateContent xmlns:mc="http://schemas.openxmlformats.org/markup-compatibility/2006" xmlns:a14="http://schemas.microsoft.com/office/drawing/2010/main">
      <mc:Choice Requires="a14">
        <xdr:graphicFrame macro="">
          <xdr:nvGraphicFramePr>
            <xdr:cNvPr id="9" name="Attrition">
              <a:extLst>
                <a:ext uri="{FF2B5EF4-FFF2-40B4-BE49-F238E27FC236}">
                  <a16:creationId xmlns:a16="http://schemas.microsoft.com/office/drawing/2014/main" id="{6B60FE2B-5BD8-2151-8550-F1AAD2559406}"/>
                </a:ext>
              </a:extLst>
            </xdr:cNvPr>
            <xdr:cNvGraphicFramePr/>
          </xdr:nvGraphicFramePr>
          <xdr:xfrm>
            <a:off x="0" y="0"/>
            <a:ext cx="0" cy="0"/>
          </xdr:xfrm>
          <a:graphic>
            <a:graphicData uri="http://schemas.microsoft.com/office/drawing/2010/slicer">
              <sle:slicer xmlns:sle="http://schemas.microsoft.com/office/drawing/2010/slicer" name="Attrition"/>
            </a:graphicData>
          </a:graphic>
        </xdr:graphicFrame>
      </mc:Choice>
      <mc:Fallback xmlns="">
        <xdr:sp macro="" textlink="">
          <xdr:nvSpPr>
            <xdr:cNvPr id="0" name=""/>
            <xdr:cNvSpPr>
              <a:spLocks noTextEdit="1"/>
            </xdr:cNvSpPr>
          </xdr:nvSpPr>
          <xdr:spPr>
            <a:xfrm>
              <a:off x="2705100" y="14468476"/>
              <a:ext cx="1828800" cy="10096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476248</xdr:colOff>
      <xdr:row>39</xdr:row>
      <xdr:rowOff>52387</xdr:rowOff>
    </xdr:from>
    <xdr:to>
      <xdr:col>9</xdr:col>
      <xdr:colOff>609599</xdr:colOff>
      <xdr:row>52</xdr:row>
      <xdr:rowOff>19050</xdr:rowOff>
    </xdr:to>
    <xdr:graphicFrame macro="">
      <xdr:nvGraphicFramePr>
        <xdr:cNvPr id="17" name="avg sal">
          <a:extLst>
            <a:ext uri="{FF2B5EF4-FFF2-40B4-BE49-F238E27FC236}">
              <a16:creationId xmlns:a16="http://schemas.microsoft.com/office/drawing/2014/main" id="{C165A721-3802-76C6-8256-79F3AD90B1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447675</xdr:colOff>
      <xdr:row>54</xdr:row>
      <xdr:rowOff>147637</xdr:rowOff>
    </xdr:from>
    <xdr:to>
      <xdr:col>9</xdr:col>
      <xdr:colOff>171450</xdr:colOff>
      <xdr:row>69</xdr:row>
      <xdr:rowOff>33337</xdr:rowOff>
    </xdr:to>
    <xdr:graphicFrame macro="">
      <xdr:nvGraphicFramePr>
        <xdr:cNvPr id="19" name="Chart 18">
          <a:extLst>
            <a:ext uri="{FF2B5EF4-FFF2-40B4-BE49-F238E27FC236}">
              <a16:creationId xmlns:a16="http://schemas.microsoft.com/office/drawing/2014/main" id="{074D8C43-8DA8-E0F3-C2CA-1B91C0B3E8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176212</xdr:colOff>
      <xdr:row>85</xdr:row>
      <xdr:rowOff>133349</xdr:rowOff>
    </xdr:from>
    <xdr:to>
      <xdr:col>9</xdr:col>
      <xdr:colOff>123825</xdr:colOff>
      <xdr:row>96</xdr:row>
      <xdr:rowOff>185736</xdr:rowOff>
    </xdr:to>
    <xdr:graphicFrame macro="">
      <xdr:nvGraphicFramePr>
        <xdr:cNvPr id="7" name="Chart 6">
          <a:extLst>
            <a:ext uri="{FF2B5EF4-FFF2-40B4-BE49-F238E27FC236}">
              <a16:creationId xmlns:a16="http://schemas.microsoft.com/office/drawing/2014/main" id="{F09B780C-2EE3-6675-8718-DD801323A5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92.49387766204" backgroundQuery="1" createdVersion="8" refreshedVersion="8" minRefreshableVersion="3" recordCount="0" supportSubquery="1" supportAdvancedDrill="1" xr:uid="{3B91BA32-6C11-4C69-ABA5-1A892A0343E5}">
  <cacheSource type="external" connectionId="1"/>
  <cacheFields count="2">
    <cacheField name="[Table1].[Experience Level].[Experience Level]" caption="Experience Level" numFmtId="0" hierarchy="9" level="1">
      <sharedItems count="3">
        <s v="Junior"/>
        <s v="Mid-Level"/>
        <s v="Senior"/>
      </sharedItems>
    </cacheField>
    <cacheField name="[Measures].[Count of Employee ID]" caption="Count of Employee ID" numFmtId="0" hierarchy="14" level="32767"/>
  </cacheFields>
  <cacheHierarchies count="15">
    <cacheHierarchy uniqueName="[Table1].[Employee ID]" caption="Employee ID" attribute="1" defaultMemberUniqueName="[Table1].[Employee ID].[All]" allUniqueName="[Table1].[Employee ID].[All]" dimensionUniqueName="[Table1]" displayFolder="" count="0" memberValueDatatype="20" unbalanced="0"/>
    <cacheHierarchy uniqueName="[Table1].[Age]" caption="Age" attribute="1" defaultMemberUniqueName="[Table1].[Age].[All]" allUniqueName="[Table1].[Age].[All]" dimensionUniqueName="[Table1]" displayFolder="" count="0" memberValueDatatype="20" unbalanced="0"/>
    <cacheHierarchy uniqueName="[Table1].[Gender]" caption="Gender" attribute="1" defaultMemberUniqueName="[Table1].[Gender].[All]" allUniqueName="[Table1].[Gender].[All]" dimensionUniqueName="[Table1]" displayFolder="" count="0" memberValueDatatype="130" unbalanced="0"/>
    <cacheHierarchy uniqueName="[Table1].[Department]" caption="Department" attribute="1" defaultMemberUniqueName="[Table1].[Department].[All]" allUniqueName="[Table1].[Department].[All]" dimensionUniqueName="[Table1]" displayFolder="" count="0" memberValueDatatype="130" unbalanced="0"/>
    <cacheHierarchy uniqueName="[Table1].[Job Role]" caption="Job Role" attribute="1" defaultMemberUniqueName="[Table1].[Job Role].[All]" allUniqueName="[Table1].[Job Role].[All]" dimensionUniqueName="[Table1]" displayFolder="" count="0" memberValueDatatype="130" unbalanced="0"/>
    <cacheHierarchy uniqueName="[Table1].[Monthly Income]" caption="Monthly Income" attribute="1" defaultMemberUniqueName="[Table1].[Monthly Income].[All]" allUniqueName="[Table1].[Monthly Income].[All]" dimensionUniqueName="[Table1]" displayFolder="" count="0" memberValueDatatype="20" unbalanced="0"/>
    <cacheHierarchy uniqueName="[Table1].[Years At Company]" caption="Years At Company" attribute="1" defaultMemberUniqueName="[Table1].[Years At Company].[All]" allUniqueName="[Table1].[Years At Company].[All]" dimensionUniqueName="[Table1]" displayFolder="" count="0" memberValueDatatype="20" unbalanced="0"/>
    <cacheHierarchy uniqueName="[Table1].[Performance Rating]" caption="Performance Rating" attribute="1" defaultMemberUniqueName="[Table1].[Performance Rating].[All]" allUniqueName="[Table1].[Performance Rating].[All]" dimensionUniqueName="[Table1]" displayFolder="" count="0" memberValueDatatype="20" unbalanced="0"/>
    <cacheHierarchy uniqueName="[Table1].[Attrition]" caption="Attrition" attribute="1" defaultMemberUniqueName="[Table1].[Attrition].[All]" allUniqueName="[Table1].[Attrition].[All]" dimensionUniqueName="[Table1]" displayFolder="" count="0" memberValueDatatype="130" unbalanced="0"/>
    <cacheHierarchy uniqueName="[Table1].[Experience Level]" caption="Experience Level" attribute="1" defaultMemberUniqueName="[Table1].[Experience Level].[All]" allUniqueName="[Table1].[Experience Level].[All]" dimensionUniqueName="[Table1]" displayFolder="" count="2" memberValueDatatype="130" unbalanced="0">
      <fieldsUsage count="2">
        <fieldUsage x="-1"/>
        <fieldUsage x="0"/>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Years At Company]" caption="Sum of Years At Company" measure="1" displayFolder="" measureGroup="Table1" count="0" hidden="1">
      <extLst>
        <ext xmlns:x15="http://schemas.microsoft.com/office/spreadsheetml/2010/11/main" uri="{B97F6D7D-B522-45F9-BDA1-12C45D357490}">
          <x15:cacheHierarchy aggregatedColumn="6"/>
        </ext>
      </extLst>
    </cacheHierarchy>
    <cacheHierarchy uniqueName="[Measures].[Sum of Employee ID]" caption="Sum of Employee ID" measure="1" displayFolder="" measureGroup="Table1" count="0" hidden="1">
      <extLst>
        <ext xmlns:x15="http://schemas.microsoft.com/office/spreadsheetml/2010/11/main" uri="{B97F6D7D-B522-45F9-BDA1-12C45D357490}">
          <x15:cacheHierarchy aggregatedColumn="0"/>
        </ext>
      </extLst>
    </cacheHierarchy>
    <cacheHierarchy uniqueName="[Measures].[Count of Employee ID]" caption="Count of Employee ID" measure="1" displayFolder="" measureGroup="Table1" count="0" oneField="1" hidden="1">
      <fieldsUsage count="1">
        <fieldUsage x="1"/>
      </fieldsUsage>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92.493878240741" createdVersion="8" refreshedVersion="8" minRefreshableVersion="3" recordCount="1000" xr:uid="{1F6B1408-E958-4AE0-9699-2B28351363F7}">
  <cacheSource type="worksheet">
    <worksheetSource name="Table1"/>
  </cacheSource>
  <cacheFields count="10">
    <cacheField name="Employee ID" numFmtId="0">
      <sharedItems containsSemiMixedTypes="0" containsString="0" containsNumber="1" containsInteger="1" minValue="1001" maxValue="2000"/>
    </cacheField>
    <cacheField name="Age" numFmtId="0">
      <sharedItems containsSemiMixedTypes="0" containsString="0" containsNumber="1" containsInteger="1" minValue="22" maxValue="58"/>
    </cacheField>
    <cacheField name="Gender" numFmtId="0">
      <sharedItems count="2">
        <s v="Female"/>
        <s v="Male"/>
      </sharedItems>
    </cacheField>
    <cacheField name="Department" numFmtId="0">
      <sharedItems count="6">
        <s v="IT"/>
        <s v="Finance"/>
        <s v="Sales"/>
        <s v="HR"/>
        <s v="Operations"/>
        <s v="Marketing"/>
      </sharedItems>
    </cacheField>
    <cacheField name="Job Role" numFmtId="0">
      <sharedItems/>
    </cacheField>
    <cacheField name="Monthly Income" numFmtId="0">
      <sharedItems containsSemiMixedTypes="0" containsString="0" containsNumber="1" containsInteger="1" minValue="20150" maxValue="119967"/>
    </cacheField>
    <cacheField name="Years At Company" numFmtId="0">
      <sharedItems containsSemiMixedTypes="0" containsString="0" containsNumber="1" containsInteger="1" minValue="0" maxValue="20"/>
    </cacheField>
    <cacheField name="Performance Rating" numFmtId="0">
      <sharedItems containsSemiMixedTypes="0" containsString="0" containsNumber="1" containsInteger="1" minValue="1" maxValue="5"/>
    </cacheField>
    <cacheField name="Attrition" numFmtId="0">
      <sharedItems count="2">
        <s v="No"/>
        <s v="Yes"/>
      </sharedItems>
    </cacheField>
    <cacheField name="Experience Level" numFmtId="0">
      <sharedItems/>
    </cacheField>
  </cacheFields>
  <extLst>
    <ext xmlns:x14="http://schemas.microsoft.com/office/spreadsheetml/2009/9/main" uri="{725AE2AE-9491-48be-B2B4-4EB974FC3084}">
      <x14:pivotCacheDefinition pivotCacheId="158994242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001"/>
    <n v="37"/>
    <x v="0"/>
    <x v="0"/>
    <s v="Engineer"/>
    <n v="106935"/>
    <n v="2"/>
    <n v="5"/>
    <x v="0"/>
    <s v="Junior"/>
  </r>
  <r>
    <n v="1002"/>
    <n v="32"/>
    <x v="0"/>
    <x v="1"/>
    <s v="Accountant"/>
    <n v="92802"/>
    <n v="2"/>
    <n v="1"/>
    <x v="0"/>
    <s v="Junior"/>
  </r>
  <r>
    <n v="1003"/>
    <n v="28"/>
    <x v="1"/>
    <x v="1"/>
    <s v="Accountant"/>
    <n v="20173"/>
    <n v="19"/>
    <n v="4"/>
    <x v="0"/>
    <s v="Senior"/>
  </r>
  <r>
    <n v="1004"/>
    <n v="55"/>
    <x v="1"/>
    <x v="2"/>
    <s v="Sales Executive"/>
    <n v="100197"/>
    <n v="1"/>
    <n v="3"/>
    <x v="0"/>
    <s v="Junior"/>
  </r>
  <r>
    <n v="1005"/>
    <n v="34"/>
    <x v="1"/>
    <x v="1"/>
    <s v="Financial Analyst"/>
    <n v="65942"/>
    <n v="17"/>
    <n v="1"/>
    <x v="0"/>
    <s v="Senior"/>
  </r>
  <r>
    <n v="1006"/>
    <n v="54"/>
    <x v="0"/>
    <x v="0"/>
    <s v="Engineer"/>
    <n v="69383"/>
    <n v="2"/>
    <n v="3"/>
    <x v="0"/>
    <s v="Junior"/>
  </r>
  <r>
    <n v="1007"/>
    <n v="23"/>
    <x v="1"/>
    <x v="2"/>
    <s v="Sales Executive"/>
    <n v="58398"/>
    <n v="1"/>
    <n v="4"/>
    <x v="0"/>
    <s v="Junior"/>
  </r>
  <r>
    <n v="1008"/>
    <n v="47"/>
    <x v="0"/>
    <x v="1"/>
    <s v="Financial Analyst"/>
    <n v="77216"/>
    <n v="10"/>
    <n v="1"/>
    <x v="0"/>
    <s v="Senior"/>
  </r>
  <r>
    <n v="1009"/>
    <n v="51"/>
    <x v="1"/>
    <x v="2"/>
    <s v="Sales Manager"/>
    <n v="31583"/>
    <n v="13"/>
    <n v="5"/>
    <x v="1"/>
    <s v="Senior"/>
  </r>
  <r>
    <n v="1010"/>
    <n v="54"/>
    <x v="0"/>
    <x v="1"/>
    <s v="Financial Analyst"/>
    <n v="117177"/>
    <n v="2"/>
    <n v="1"/>
    <x v="0"/>
    <s v="Junior"/>
  </r>
  <r>
    <n v="1011"/>
    <n v="45"/>
    <x v="1"/>
    <x v="3"/>
    <s v="HR Executive"/>
    <n v="76243"/>
    <n v="13"/>
    <n v="3"/>
    <x v="0"/>
    <s v="Senior"/>
  </r>
  <r>
    <n v="1012"/>
    <n v="40"/>
    <x v="1"/>
    <x v="4"/>
    <s v="Supervisor"/>
    <n v="43813"/>
    <n v="4"/>
    <n v="2"/>
    <x v="0"/>
    <s v="Mid-Level"/>
  </r>
  <r>
    <n v="1013"/>
    <n v="29"/>
    <x v="1"/>
    <x v="0"/>
    <s v="Developer"/>
    <n v="51275"/>
    <n v="2"/>
    <n v="4"/>
    <x v="0"/>
    <s v="Junior"/>
  </r>
  <r>
    <n v="1014"/>
    <n v="57"/>
    <x v="1"/>
    <x v="5"/>
    <s v="SEO Specialist"/>
    <n v="58679"/>
    <n v="10"/>
    <n v="4"/>
    <x v="0"/>
    <s v="Senior"/>
  </r>
  <r>
    <n v="1015"/>
    <n v="35"/>
    <x v="1"/>
    <x v="2"/>
    <s v="Sales Manager"/>
    <n v="96488"/>
    <n v="10"/>
    <n v="1"/>
    <x v="0"/>
    <s v="Senior"/>
  </r>
  <r>
    <n v="1016"/>
    <n v="34"/>
    <x v="0"/>
    <x v="4"/>
    <s v="Operations Executive"/>
    <n v="23979"/>
    <n v="18"/>
    <n v="1"/>
    <x v="0"/>
    <s v="Senior"/>
  </r>
  <r>
    <n v="1017"/>
    <n v="58"/>
    <x v="0"/>
    <x v="2"/>
    <s v="Sales Manager"/>
    <n v="47331"/>
    <n v="7"/>
    <n v="3"/>
    <x v="0"/>
    <s v="Senior"/>
  </r>
  <r>
    <n v="1018"/>
    <n v="23"/>
    <x v="0"/>
    <x v="5"/>
    <s v="SEO Specialist"/>
    <n v="102494"/>
    <n v="0"/>
    <n v="5"/>
    <x v="1"/>
    <s v="Junior"/>
  </r>
  <r>
    <n v="1019"/>
    <n v="26"/>
    <x v="0"/>
    <x v="1"/>
    <s v="Accountant"/>
    <n v="75978"/>
    <n v="12"/>
    <n v="5"/>
    <x v="0"/>
    <s v="Senior"/>
  </r>
  <r>
    <n v="1020"/>
    <n v="36"/>
    <x v="1"/>
    <x v="1"/>
    <s v="Financial Analyst"/>
    <n v="112005"/>
    <n v="19"/>
    <n v="2"/>
    <x v="0"/>
    <s v="Senior"/>
  </r>
  <r>
    <n v="1021"/>
    <n v="57"/>
    <x v="0"/>
    <x v="3"/>
    <s v="HR Executive"/>
    <n v="77247"/>
    <n v="9"/>
    <n v="1"/>
    <x v="1"/>
    <s v="Senior"/>
  </r>
  <r>
    <n v="1022"/>
    <n v="31"/>
    <x v="0"/>
    <x v="5"/>
    <s v="Marketing Executive"/>
    <n v="20351"/>
    <n v="10"/>
    <n v="2"/>
    <x v="0"/>
    <s v="Senior"/>
  </r>
  <r>
    <n v="1023"/>
    <n v="38"/>
    <x v="1"/>
    <x v="2"/>
    <s v="Sales Manager"/>
    <n v="32852"/>
    <n v="11"/>
    <n v="5"/>
    <x v="0"/>
    <s v="Senior"/>
  </r>
  <r>
    <n v="1024"/>
    <n v="46"/>
    <x v="0"/>
    <x v="3"/>
    <s v="Recruiter"/>
    <n v="87449"/>
    <n v="12"/>
    <n v="3"/>
    <x v="1"/>
    <s v="Senior"/>
  </r>
  <r>
    <n v="1025"/>
    <n v="26"/>
    <x v="1"/>
    <x v="1"/>
    <s v="Accountant"/>
    <n v="101822"/>
    <n v="2"/>
    <n v="2"/>
    <x v="0"/>
    <s v="Junior"/>
  </r>
  <r>
    <n v="1026"/>
    <n v="52"/>
    <x v="1"/>
    <x v="0"/>
    <s v="Engineer"/>
    <n v="86789"/>
    <n v="11"/>
    <n v="5"/>
    <x v="0"/>
    <s v="Senior"/>
  </r>
  <r>
    <n v="1027"/>
    <n v="29"/>
    <x v="0"/>
    <x v="3"/>
    <s v="Recruiter"/>
    <n v="52466"/>
    <n v="5"/>
    <n v="5"/>
    <x v="0"/>
    <s v="Mid-Level"/>
  </r>
  <r>
    <n v="1028"/>
    <n v="35"/>
    <x v="1"/>
    <x v="5"/>
    <s v="Marketing Executive"/>
    <n v="68170"/>
    <n v="12"/>
    <n v="3"/>
    <x v="1"/>
    <s v="Senior"/>
  </r>
  <r>
    <n v="1029"/>
    <n v="47"/>
    <x v="0"/>
    <x v="0"/>
    <s v="Developer"/>
    <n v="74857"/>
    <n v="1"/>
    <n v="4"/>
    <x v="0"/>
    <s v="Junior"/>
  </r>
  <r>
    <n v="1030"/>
    <n v="58"/>
    <x v="1"/>
    <x v="4"/>
    <s v="Operations Executive"/>
    <n v="86919"/>
    <n v="15"/>
    <n v="3"/>
    <x v="0"/>
    <s v="Senior"/>
  </r>
  <r>
    <n v="1031"/>
    <n v="53"/>
    <x v="0"/>
    <x v="0"/>
    <s v="Analyst"/>
    <n v="117034"/>
    <n v="8"/>
    <n v="1"/>
    <x v="0"/>
    <s v="Senior"/>
  </r>
  <r>
    <n v="1032"/>
    <n v="47"/>
    <x v="1"/>
    <x v="5"/>
    <s v="Marketing Executive"/>
    <n v="116535"/>
    <n v="16"/>
    <n v="5"/>
    <x v="0"/>
    <s v="Senior"/>
  </r>
  <r>
    <n v="1033"/>
    <n v="28"/>
    <x v="1"/>
    <x v="2"/>
    <s v="Sales Executive"/>
    <n v="113176"/>
    <n v="15"/>
    <n v="1"/>
    <x v="0"/>
    <s v="Senior"/>
  </r>
  <r>
    <n v="1034"/>
    <n v="42"/>
    <x v="0"/>
    <x v="5"/>
    <s v="SEO Specialist"/>
    <n v="72575"/>
    <n v="18"/>
    <n v="4"/>
    <x v="0"/>
    <s v="Senior"/>
  </r>
  <r>
    <n v="1035"/>
    <n v="39"/>
    <x v="1"/>
    <x v="2"/>
    <s v="Sales Executive"/>
    <n v="113431"/>
    <n v="2"/>
    <n v="2"/>
    <x v="0"/>
    <s v="Junior"/>
  </r>
  <r>
    <n v="1036"/>
    <n v="52"/>
    <x v="1"/>
    <x v="5"/>
    <s v="SEO Specialist"/>
    <n v="106998"/>
    <n v="9"/>
    <n v="4"/>
    <x v="0"/>
    <s v="Senior"/>
  </r>
  <r>
    <n v="1037"/>
    <n v="30"/>
    <x v="1"/>
    <x v="1"/>
    <s v="Accountant"/>
    <n v="84282"/>
    <n v="19"/>
    <n v="5"/>
    <x v="0"/>
    <s v="Senior"/>
  </r>
  <r>
    <n v="1038"/>
    <n v="42"/>
    <x v="0"/>
    <x v="0"/>
    <s v="Analyst"/>
    <n v="64263"/>
    <n v="5"/>
    <n v="1"/>
    <x v="0"/>
    <s v="Mid-Level"/>
  </r>
  <r>
    <n v="1039"/>
    <n v="30"/>
    <x v="0"/>
    <x v="5"/>
    <s v="SEO Specialist"/>
    <n v="95401"/>
    <n v="12"/>
    <n v="2"/>
    <x v="0"/>
    <s v="Senior"/>
  </r>
  <r>
    <n v="1040"/>
    <n v="57"/>
    <x v="0"/>
    <x v="1"/>
    <s v="Accountant"/>
    <n v="119457"/>
    <n v="14"/>
    <n v="2"/>
    <x v="0"/>
    <s v="Senior"/>
  </r>
  <r>
    <n v="1041"/>
    <n v="50"/>
    <x v="1"/>
    <x v="2"/>
    <s v="Sales Manager"/>
    <n v="73186"/>
    <n v="17"/>
    <n v="4"/>
    <x v="0"/>
    <s v="Senior"/>
  </r>
  <r>
    <n v="1042"/>
    <n v="42"/>
    <x v="0"/>
    <x v="1"/>
    <s v="Accountant"/>
    <n v="81455"/>
    <n v="12"/>
    <n v="3"/>
    <x v="0"/>
    <s v="Senior"/>
  </r>
  <r>
    <n v="1043"/>
    <n v="30"/>
    <x v="0"/>
    <x v="3"/>
    <s v="Recruiter"/>
    <n v="105252"/>
    <n v="11"/>
    <n v="4"/>
    <x v="0"/>
    <s v="Senior"/>
  </r>
  <r>
    <n v="1044"/>
    <n v="31"/>
    <x v="1"/>
    <x v="3"/>
    <s v="Recruiter"/>
    <n v="23325"/>
    <n v="6"/>
    <n v="5"/>
    <x v="0"/>
    <s v="Mid-Level"/>
  </r>
  <r>
    <n v="1045"/>
    <n v="27"/>
    <x v="0"/>
    <x v="5"/>
    <s v="SEO Specialist"/>
    <n v="30754"/>
    <n v="2"/>
    <n v="4"/>
    <x v="0"/>
    <s v="Junior"/>
  </r>
  <r>
    <n v="1046"/>
    <n v="52"/>
    <x v="1"/>
    <x v="5"/>
    <s v="Marketing Executive"/>
    <n v="117993"/>
    <n v="10"/>
    <n v="1"/>
    <x v="0"/>
    <s v="Senior"/>
  </r>
  <r>
    <n v="1047"/>
    <n v="36"/>
    <x v="1"/>
    <x v="4"/>
    <s v="Operations Executive"/>
    <n v="31977"/>
    <n v="9"/>
    <n v="5"/>
    <x v="1"/>
    <s v="Senior"/>
  </r>
  <r>
    <n v="1048"/>
    <n v="24"/>
    <x v="0"/>
    <x v="3"/>
    <s v="Recruiter"/>
    <n v="51517"/>
    <n v="12"/>
    <n v="2"/>
    <x v="0"/>
    <s v="Senior"/>
  </r>
  <r>
    <n v="1049"/>
    <n v="26"/>
    <x v="1"/>
    <x v="1"/>
    <s v="Accountant"/>
    <n v="105825"/>
    <n v="10"/>
    <n v="5"/>
    <x v="1"/>
    <s v="Senior"/>
  </r>
  <r>
    <n v="1050"/>
    <n v="51"/>
    <x v="0"/>
    <x v="1"/>
    <s v="Financial Analyst"/>
    <n v="55830"/>
    <n v="18"/>
    <n v="4"/>
    <x v="0"/>
    <s v="Senior"/>
  </r>
  <r>
    <n v="1051"/>
    <n v="31"/>
    <x v="1"/>
    <x v="0"/>
    <s v="Engineer"/>
    <n v="114423"/>
    <n v="16"/>
    <n v="2"/>
    <x v="0"/>
    <s v="Senior"/>
  </r>
  <r>
    <n v="1052"/>
    <n v="55"/>
    <x v="1"/>
    <x v="1"/>
    <s v="Financial Analyst"/>
    <n v="86849"/>
    <n v="5"/>
    <n v="4"/>
    <x v="0"/>
    <s v="Mid-Level"/>
  </r>
  <r>
    <n v="1053"/>
    <n v="38"/>
    <x v="0"/>
    <x v="0"/>
    <s v="Analyst"/>
    <n v="78247"/>
    <n v="5"/>
    <n v="5"/>
    <x v="0"/>
    <s v="Mid-Level"/>
  </r>
  <r>
    <n v="1054"/>
    <n v="51"/>
    <x v="0"/>
    <x v="3"/>
    <s v="HR Executive"/>
    <n v="77245"/>
    <n v="13"/>
    <n v="4"/>
    <x v="0"/>
    <s v="Senior"/>
  </r>
  <r>
    <n v="1055"/>
    <n v="30"/>
    <x v="0"/>
    <x v="1"/>
    <s v="Accountant"/>
    <n v="105413"/>
    <n v="5"/>
    <n v="2"/>
    <x v="0"/>
    <s v="Mid-Level"/>
  </r>
  <r>
    <n v="1056"/>
    <n v="32"/>
    <x v="0"/>
    <x v="0"/>
    <s v="Engineer"/>
    <n v="104149"/>
    <n v="17"/>
    <n v="2"/>
    <x v="0"/>
    <s v="Senior"/>
  </r>
  <r>
    <n v="1057"/>
    <n v="31"/>
    <x v="1"/>
    <x v="2"/>
    <s v="Sales Executive"/>
    <n v="27141"/>
    <n v="15"/>
    <n v="4"/>
    <x v="0"/>
    <s v="Senior"/>
  </r>
  <r>
    <n v="1058"/>
    <n v="35"/>
    <x v="1"/>
    <x v="2"/>
    <s v="Sales Executive"/>
    <n v="37683"/>
    <n v="0"/>
    <n v="4"/>
    <x v="0"/>
    <s v="Junior"/>
  </r>
  <r>
    <n v="1059"/>
    <n v="22"/>
    <x v="0"/>
    <x v="1"/>
    <s v="Financial Analyst"/>
    <n v="58450"/>
    <n v="11"/>
    <n v="3"/>
    <x v="0"/>
    <s v="Senior"/>
  </r>
  <r>
    <n v="1060"/>
    <n v="47"/>
    <x v="0"/>
    <x v="3"/>
    <s v="HR Executive"/>
    <n v="88615"/>
    <n v="5"/>
    <n v="5"/>
    <x v="0"/>
    <s v="Mid-Level"/>
  </r>
  <r>
    <n v="1061"/>
    <n v="42"/>
    <x v="0"/>
    <x v="0"/>
    <s v="Engineer"/>
    <n v="31927"/>
    <n v="3"/>
    <n v="3"/>
    <x v="1"/>
    <s v="Mid-Level"/>
  </r>
  <r>
    <n v="1062"/>
    <n v="37"/>
    <x v="0"/>
    <x v="0"/>
    <s v="Analyst"/>
    <n v="107279"/>
    <n v="18"/>
    <n v="3"/>
    <x v="0"/>
    <s v="Senior"/>
  </r>
  <r>
    <n v="1063"/>
    <n v="36"/>
    <x v="0"/>
    <x v="5"/>
    <s v="Marketing Executive"/>
    <n v="119967"/>
    <n v="4"/>
    <n v="5"/>
    <x v="0"/>
    <s v="Mid-Level"/>
  </r>
  <r>
    <n v="1064"/>
    <n v="52"/>
    <x v="1"/>
    <x v="3"/>
    <s v="Recruiter"/>
    <n v="46243"/>
    <n v="7"/>
    <n v="2"/>
    <x v="1"/>
    <s v="Senior"/>
  </r>
  <r>
    <n v="1065"/>
    <n v="28"/>
    <x v="1"/>
    <x v="1"/>
    <s v="Accountant"/>
    <n v="88017"/>
    <n v="10"/>
    <n v="4"/>
    <x v="0"/>
    <s v="Senior"/>
  </r>
  <r>
    <n v="1066"/>
    <n v="45"/>
    <x v="1"/>
    <x v="4"/>
    <s v="Supervisor"/>
    <n v="45667"/>
    <n v="20"/>
    <n v="2"/>
    <x v="0"/>
    <s v="Senior"/>
  </r>
  <r>
    <n v="1067"/>
    <n v="58"/>
    <x v="1"/>
    <x v="2"/>
    <s v="Sales Manager"/>
    <n v="22887"/>
    <n v="20"/>
    <n v="4"/>
    <x v="0"/>
    <s v="Senior"/>
  </r>
  <r>
    <n v="1068"/>
    <n v="41"/>
    <x v="1"/>
    <x v="3"/>
    <s v="Recruiter"/>
    <n v="80391"/>
    <n v="6"/>
    <n v="3"/>
    <x v="0"/>
    <s v="Mid-Level"/>
  </r>
  <r>
    <n v="1069"/>
    <n v="48"/>
    <x v="0"/>
    <x v="3"/>
    <s v="HR Executive"/>
    <n v="20485"/>
    <n v="8"/>
    <n v="5"/>
    <x v="0"/>
    <s v="Senior"/>
  </r>
  <r>
    <n v="1070"/>
    <n v="48"/>
    <x v="1"/>
    <x v="5"/>
    <s v="SEO Specialist"/>
    <n v="34118"/>
    <n v="10"/>
    <n v="5"/>
    <x v="0"/>
    <s v="Senior"/>
  </r>
  <r>
    <n v="1071"/>
    <n v="43"/>
    <x v="0"/>
    <x v="3"/>
    <s v="HR Executive"/>
    <n v="22840"/>
    <n v="13"/>
    <n v="4"/>
    <x v="0"/>
    <s v="Senior"/>
  </r>
  <r>
    <n v="1072"/>
    <n v="28"/>
    <x v="0"/>
    <x v="2"/>
    <s v="Sales Manager"/>
    <n v="21752"/>
    <n v="12"/>
    <n v="1"/>
    <x v="1"/>
    <s v="Senior"/>
  </r>
  <r>
    <n v="1073"/>
    <n v="43"/>
    <x v="1"/>
    <x v="0"/>
    <s v="Analyst"/>
    <n v="60050"/>
    <n v="2"/>
    <n v="3"/>
    <x v="0"/>
    <s v="Junior"/>
  </r>
  <r>
    <n v="1074"/>
    <n v="39"/>
    <x v="1"/>
    <x v="1"/>
    <s v="Financial Analyst"/>
    <n v="103672"/>
    <n v="7"/>
    <n v="4"/>
    <x v="0"/>
    <s v="Senior"/>
  </r>
  <r>
    <n v="1075"/>
    <n v="48"/>
    <x v="1"/>
    <x v="3"/>
    <s v="Recruiter"/>
    <n v="73563"/>
    <n v="7"/>
    <n v="5"/>
    <x v="0"/>
    <s v="Senior"/>
  </r>
  <r>
    <n v="1076"/>
    <n v="48"/>
    <x v="0"/>
    <x v="5"/>
    <s v="SEO Specialist"/>
    <n v="35553"/>
    <n v="4"/>
    <n v="1"/>
    <x v="0"/>
    <s v="Mid-Level"/>
  </r>
  <r>
    <n v="1077"/>
    <n v="51"/>
    <x v="1"/>
    <x v="0"/>
    <s v="Analyst"/>
    <n v="70524"/>
    <n v="6"/>
    <n v="2"/>
    <x v="0"/>
    <s v="Mid-Level"/>
  </r>
  <r>
    <n v="1078"/>
    <n v="23"/>
    <x v="0"/>
    <x v="4"/>
    <s v="Operations Executive"/>
    <n v="71187"/>
    <n v="4"/>
    <n v="1"/>
    <x v="0"/>
    <s v="Mid-Level"/>
  </r>
  <r>
    <n v="1079"/>
    <n v="38"/>
    <x v="1"/>
    <x v="4"/>
    <s v="Operations Executive"/>
    <n v="66268"/>
    <n v="0"/>
    <n v="5"/>
    <x v="0"/>
    <s v="Junior"/>
  </r>
  <r>
    <n v="1080"/>
    <n v="53"/>
    <x v="1"/>
    <x v="2"/>
    <s v="Sales Manager"/>
    <n v="116494"/>
    <n v="19"/>
    <n v="4"/>
    <x v="0"/>
    <s v="Senior"/>
  </r>
  <r>
    <n v="1081"/>
    <n v="55"/>
    <x v="1"/>
    <x v="0"/>
    <s v="Engineer"/>
    <n v="27193"/>
    <n v="19"/>
    <n v="1"/>
    <x v="0"/>
    <s v="Senior"/>
  </r>
  <r>
    <n v="1082"/>
    <n v="45"/>
    <x v="1"/>
    <x v="3"/>
    <s v="Recruiter"/>
    <n v="29842"/>
    <n v="2"/>
    <n v="1"/>
    <x v="0"/>
    <s v="Junior"/>
  </r>
  <r>
    <n v="1083"/>
    <n v="25"/>
    <x v="0"/>
    <x v="0"/>
    <s v="Developer"/>
    <n v="63411"/>
    <n v="3"/>
    <n v="4"/>
    <x v="0"/>
    <s v="Mid-Level"/>
  </r>
  <r>
    <n v="1084"/>
    <n v="29"/>
    <x v="0"/>
    <x v="2"/>
    <s v="Sales Manager"/>
    <n v="86199"/>
    <n v="13"/>
    <n v="2"/>
    <x v="1"/>
    <s v="Senior"/>
  </r>
  <r>
    <n v="1085"/>
    <n v="48"/>
    <x v="1"/>
    <x v="0"/>
    <s v="Engineer"/>
    <n v="97361"/>
    <n v="7"/>
    <n v="5"/>
    <x v="0"/>
    <s v="Senior"/>
  </r>
  <r>
    <n v="1086"/>
    <n v="32"/>
    <x v="0"/>
    <x v="1"/>
    <s v="Accountant"/>
    <n v="33804"/>
    <n v="4"/>
    <n v="2"/>
    <x v="0"/>
    <s v="Mid-Level"/>
  </r>
  <r>
    <n v="1087"/>
    <n v="33"/>
    <x v="0"/>
    <x v="2"/>
    <s v="Sales Executive"/>
    <n v="97322"/>
    <n v="2"/>
    <n v="5"/>
    <x v="1"/>
    <s v="Junior"/>
  </r>
  <r>
    <n v="1088"/>
    <n v="48"/>
    <x v="1"/>
    <x v="1"/>
    <s v="Accountant"/>
    <n v="42316"/>
    <n v="18"/>
    <n v="1"/>
    <x v="0"/>
    <s v="Senior"/>
  </r>
  <r>
    <n v="1089"/>
    <n v="56"/>
    <x v="1"/>
    <x v="4"/>
    <s v="Supervisor"/>
    <n v="49653"/>
    <n v="18"/>
    <n v="3"/>
    <x v="0"/>
    <s v="Senior"/>
  </r>
  <r>
    <n v="1090"/>
    <n v="33"/>
    <x v="1"/>
    <x v="3"/>
    <s v="HR Executive"/>
    <n v="67131"/>
    <n v="5"/>
    <n v="5"/>
    <x v="0"/>
    <s v="Mid-Level"/>
  </r>
  <r>
    <n v="1091"/>
    <n v="31"/>
    <x v="0"/>
    <x v="5"/>
    <s v="SEO Specialist"/>
    <n v="86908"/>
    <n v="0"/>
    <n v="5"/>
    <x v="0"/>
    <s v="Junior"/>
  </r>
  <r>
    <n v="1092"/>
    <n v="46"/>
    <x v="1"/>
    <x v="0"/>
    <s v="Engineer"/>
    <n v="118006"/>
    <n v="18"/>
    <n v="4"/>
    <x v="0"/>
    <s v="Senior"/>
  </r>
  <r>
    <n v="1093"/>
    <n v="34"/>
    <x v="1"/>
    <x v="4"/>
    <s v="Operations Executive"/>
    <n v="75613"/>
    <n v="13"/>
    <n v="3"/>
    <x v="0"/>
    <s v="Senior"/>
  </r>
  <r>
    <n v="1094"/>
    <n v="49"/>
    <x v="0"/>
    <x v="2"/>
    <s v="Sales Executive"/>
    <n v="31101"/>
    <n v="18"/>
    <n v="3"/>
    <x v="1"/>
    <s v="Senior"/>
  </r>
  <r>
    <n v="1095"/>
    <n v="48"/>
    <x v="0"/>
    <x v="5"/>
    <s v="SEO Specialist"/>
    <n v="44691"/>
    <n v="7"/>
    <n v="3"/>
    <x v="1"/>
    <s v="Senior"/>
  </r>
  <r>
    <n v="1096"/>
    <n v="29"/>
    <x v="1"/>
    <x v="1"/>
    <s v="Accountant"/>
    <n v="113553"/>
    <n v="8"/>
    <n v="3"/>
    <x v="0"/>
    <s v="Senior"/>
  </r>
  <r>
    <n v="1097"/>
    <n v="33"/>
    <x v="0"/>
    <x v="4"/>
    <s v="Operations Executive"/>
    <n v="87386"/>
    <n v="19"/>
    <n v="2"/>
    <x v="0"/>
    <s v="Senior"/>
  </r>
  <r>
    <n v="1098"/>
    <n v="33"/>
    <x v="1"/>
    <x v="5"/>
    <s v="SEO Specialist"/>
    <n v="78120"/>
    <n v="16"/>
    <n v="3"/>
    <x v="0"/>
    <s v="Senior"/>
  </r>
  <r>
    <n v="1099"/>
    <n v="32"/>
    <x v="0"/>
    <x v="5"/>
    <s v="SEO Specialist"/>
    <n v="110701"/>
    <n v="13"/>
    <n v="2"/>
    <x v="0"/>
    <s v="Senior"/>
  </r>
  <r>
    <n v="1100"/>
    <n v="47"/>
    <x v="0"/>
    <x v="0"/>
    <s v="Developer"/>
    <n v="110988"/>
    <n v="9"/>
    <n v="2"/>
    <x v="0"/>
    <s v="Senior"/>
  </r>
  <r>
    <n v="1101"/>
    <n v="45"/>
    <x v="1"/>
    <x v="2"/>
    <s v="Sales Manager"/>
    <n v="45202"/>
    <n v="6"/>
    <n v="3"/>
    <x v="0"/>
    <s v="Mid-Level"/>
  </r>
  <r>
    <n v="1102"/>
    <n v="48"/>
    <x v="1"/>
    <x v="1"/>
    <s v="Financial Analyst"/>
    <n v="96458"/>
    <n v="15"/>
    <n v="5"/>
    <x v="0"/>
    <s v="Senior"/>
  </r>
  <r>
    <n v="1103"/>
    <n v="28"/>
    <x v="1"/>
    <x v="4"/>
    <s v="Supervisor"/>
    <n v="75325"/>
    <n v="3"/>
    <n v="2"/>
    <x v="0"/>
    <s v="Mid-Level"/>
  </r>
  <r>
    <n v="1104"/>
    <n v="35"/>
    <x v="0"/>
    <x v="5"/>
    <s v="Marketing Executive"/>
    <n v="89413"/>
    <n v="7"/>
    <n v="2"/>
    <x v="0"/>
    <s v="Senior"/>
  </r>
  <r>
    <n v="1105"/>
    <n v="49"/>
    <x v="0"/>
    <x v="0"/>
    <s v="Analyst"/>
    <n v="29863"/>
    <n v="0"/>
    <n v="5"/>
    <x v="0"/>
    <s v="Junior"/>
  </r>
  <r>
    <n v="1106"/>
    <n v="34"/>
    <x v="0"/>
    <x v="3"/>
    <s v="Recruiter"/>
    <n v="28439"/>
    <n v="18"/>
    <n v="4"/>
    <x v="0"/>
    <s v="Senior"/>
  </r>
  <r>
    <n v="1107"/>
    <n v="31"/>
    <x v="1"/>
    <x v="3"/>
    <s v="Recruiter"/>
    <n v="110538"/>
    <n v="15"/>
    <n v="5"/>
    <x v="0"/>
    <s v="Senior"/>
  </r>
  <r>
    <n v="1108"/>
    <n v="38"/>
    <x v="0"/>
    <x v="1"/>
    <s v="Financial Analyst"/>
    <n v="60911"/>
    <n v="19"/>
    <n v="1"/>
    <x v="1"/>
    <s v="Senior"/>
  </r>
  <r>
    <n v="1109"/>
    <n v="22"/>
    <x v="1"/>
    <x v="4"/>
    <s v="Supervisor"/>
    <n v="108941"/>
    <n v="5"/>
    <n v="3"/>
    <x v="0"/>
    <s v="Mid-Level"/>
  </r>
  <r>
    <n v="1110"/>
    <n v="27"/>
    <x v="0"/>
    <x v="0"/>
    <s v="Analyst"/>
    <n v="70205"/>
    <n v="8"/>
    <n v="3"/>
    <x v="0"/>
    <s v="Senior"/>
  </r>
  <r>
    <n v="1111"/>
    <n v="45"/>
    <x v="1"/>
    <x v="1"/>
    <s v="Accountant"/>
    <n v="49375"/>
    <n v="12"/>
    <n v="1"/>
    <x v="1"/>
    <s v="Senior"/>
  </r>
  <r>
    <n v="1112"/>
    <n v="26"/>
    <x v="0"/>
    <x v="5"/>
    <s v="Marketing Executive"/>
    <n v="77264"/>
    <n v="0"/>
    <n v="2"/>
    <x v="0"/>
    <s v="Junior"/>
  </r>
  <r>
    <n v="1113"/>
    <n v="50"/>
    <x v="0"/>
    <x v="1"/>
    <s v="Accountant"/>
    <n v="86298"/>
    <n v="14"/>
    <n v="2"/>
    <x v="1"/>
    <s v="Senior"/>
  </r>
  <r>
    <n v="1114"/>
    <n v="26"/>
    <x v="1"/>
    <x v="1"/>
    <s v="Accountant"/>
    <n v="55480"/>
    <n v="19"/>
    <n v="2"/>
    <x v="0"/>
    <s v="Senior"/>
  </r>
  <r>
    <n v="1115"/>
    <n v="31"/>
    <x v="1"/>
    <x v="0"/>
    <s v="Analyst"/>
    <n v="92134"/>
    <n v="19"/>
    <n v="4"/>
    <x v="0"/>
    <s v="Senior"/>
  </r>
  <r>
    <n v="1116"/>
    <n v="50"/>
    <x v="1"/>
    <x v="5"/>
    <s v="Marketing Executive"/>
    <n v="67486"/>
    <n v="2"/>
    <n v="2"/>
    <x v="0"/>
    <s v="Junior"/>
  </r>
  <r>
    <n v="1117"/>
    <n v="46"/>
    <x v="1"/>
    <x v="3"/>
    <s v="HR Executive"/>
    <n v="119147"/>
    <n v="4"/>
    <n v="2"/>
    <x v="1"/>
    <s v="Mid-Level"/>
  </r>
  <r>
    <n v="1118"/>
    <n v="38"/>
    <x v="1"/>
    <x v="1"/>
    <s v="Accountant"/>
    <n v="119508"/>
    <n v="15"/>
    <n v="1"/>
    <x v="0"/>
    <s v="Senior"/>
  </r>
  <r>
    <n v="1119"/>
    <n v="41"/>
    <x v="0"/>
    <x v="0"/>
    <s v="Developer"/>
    <n v="102130"/>
    <n v="1"/>
    <n v="2"/>
    <x v="0"/>
    <s v="Junior"/>
  </r>
  <r>
    <n v="1120"/>
    <n v="24"/>
    <x v="0"/>
    <x v="2"/>
    <s v="Sales Manager"/>
    <n v="116167"/>
    <n v="13"/>
    <n v="5"/>
    <x v="0"/>
    <s v="Senior"/>
  </r>
  <r>
    <n v="1121"/>
    <n v="47"/>
    <x v="0"/>
    <x v="2"/>
    <s v="Sales Executive"/>
    <n v="42012"/>
    <n v="20"/>
    <n v="5"/>
    <x v="1"/>
    <s v="Senior"/>
  </r>
  <r>
    <n v="1122"/>
    <n v="50"/>
    <x v="0"/>
    <x v="5"/>
    <s v="Marketing Executive"/>
    <n v="68209"/>
    <n v="10"/>
    <n v="5"/>
    <x v="1"/>
    <s v="Senior"/>
  </r>
  <r>
    <n v="1123"/>
    <n v="31"/>
    <x v="0"/>
    <x v="2"/>
    <s v="Sales Manager"/>
    <n v="77817"/>
    <n v="9"/>
    <n v="1"/>
    <x v="0"/>
    <s v="Senior"/>
  </r>
  <r>
    <n v="1124"/>
    <n v="53"/>
    <x v="0"/>
    <x v="1"/>
    <s v="Financial Analyst"/>
    <n v="81265"/>
    <n v="16"/>
    <n v="5"/>
    <x v="0"/>
    <s v="Senior"/>
  </r>
  <r>
    <n v="1125"/>
    <n v="43"/>
    <x v="1"/>
    <x v="0"/>
    <s v="Developer"/>
    <n v="22684"/>
    <n v="15"/>
    <n v="4"/>
    <x v="0"/>
    <s v="Senior"/>
  </r>
  <r>
    <n v="1126"/>
    <n v="58"/>
    <x v="1"/>
    <x v="3"/>
    <s v="HR Executive"/>
    <n v="89662"/>
    <n v="16"/>
    <n v="2"/>
    <x v="0"/>
    <s v="Senior"/>
  </r>
  <r>
    <n v="1127"/>
    <n v="52"/>
    <x v="0"/>
    <x v="3"/>
    <s v="HR Executive"/>
    <n v="53742"/>
    <n v="7"/>
    <n v="1"/>
    <x v="0"/>
    <s v="Senior"/>
  </r>
  <r>
    <n v="1128"/>
    <n v="47"/>
    <x v="1"/>
    <x v="2"/>
    <s v="Sales Executive"/>
    <n v="81650"/>
    <n v="10"/>
    <n v="3"/>
    <x v="0"/>
    <s v="Senior"/>
  </r>
  <r>
    <n v="1129"/>
    <n v="46"/>
    <x v="1"/>
    <x v="4"/>
    <s v="Supervisor"/>
    <n v="119534"/>
    <n v="3"/>
    <n v="2"/>
    <x v="1"/>
    <s v="Mid-Level"/>
  </r>
  <r>
    <n v="1130"/>
    <n v="49"/>
    <x v="1"/>
    <x v="4"/>
    <s v="Supervisor"/>
    <n v="50699"/>
    <n v="11"/>
    <n v="4"/>
    <x v="0"/>
    <s v="Senior"/>
  </r>
  <r>
    <n v="1131"/>
    <n v="34"/>
    <x v="1"/>
    <x v="5"/>
    <s v="SEO Specialist"/>
    <n v="96722"/>
    <n v="10"/>
    <n v="5"/>
    <x v="0"/>
    <s v="Senior"/>
  </r>
  <r>
    <n v="1132"/>
    <n v="48"/>
    <x v="0"/>
    <x v="1"/>
    <s v="Accountant"/>
    <n v="28429"/>
    <n v="10"/>
    <n v="1"/>
    <x v="0"/>
    <s v="Senior"/>
  </r>
  <r>
    <n v="1133"/>
    <n v="35"/>
    <x v="0"/>
    <x v="3"/>
    <s v="HR Executive"/>
    <n v="114451"/>
    <n v="9"/>
    <n v="4"/>
    <x v="0"/>
    <s v="Senior"/>
  </r>
  <r>
    <n v="1134"/>
    <n v="43"/>
    <x v="1"/>
    <x v="5"/>
    <s v="SEO Specialist"/>
    <n v="32747"/>
    <n v="3"/>
    <n v="5"/>
    <x v="0"/>
    <s v="Mid-Level"/>
  </r>
  <r>
    <n v="1135"/>
    <n v="27"/>
    <x v="1"/>
    <x v="4"/>
    <s v="Supervisor"/>
    <n v="62624"/>
    <n v="12"/>
    <n v="4"/>
    <x v="0"/>
    <s v="Senior"/>
  </r>
  <r>
    <n v="1136"/>
    <n v="47"/>
    <x v="0"/>
    <x v="4"/>
    <s v="Operations Executive"/>
    <n v="85859"/>
    <n v="14"/>
    <n v="3"/>
    <x v="0"/>
    <s v="Senior"/>
  </r>
  <r>
    <n v="1137"/>
    <n v="37"/>
    <x v="0"/>
    <x v="0"/>
    <s v="Developer"/>
    <n v="24009"/>
    <n v="2"/>
    <n v="2"/>
    <x v="0"/>
    <s v="Junior"/>
  </r>
  <r>
    <n v="1138"/>
    <n v="33"/>
    <x v="0"/>
    <x v="5"/>
    <s v="SEO Specialist"/>
    <n v="69013"/>
    <n v="4"/>
    <n v="5"/>
    <x v="0"/>
    <s v="Mid-Level"/>
  </r>
  <r>
    <n v="1139"/>
    <n v="47"/>
    <x v="0"/>
    <x v="0"/>
    <s v="Analyst"/>
    <n v="21316"/>
    <n v="11"/>
    <n v="2"/>
    <x v="0"/>
    <s v="Senior"/>
  </r>
  <r>
    <n v="1140"/>
    <n v="51"/>
    <x v="0"/>
    <x v="2"/>
    <s v="Sales Manager"/>
    <n v="47210"/>
    <n v="11"/>
    <n v="3"/>
    <x v="1"/>
    <s v="Senior"/>
  </r>
  <r>
    <n v="1141"/>
    <n v="53"/>
    <x v="0"/>
    <x v="4"/>
    <s v="Operations Executive"/>
    <n v="67584"/>
    <n v="11"/>
    <n v="1"/>
    <x v="0"/>
    <s v="Senior"/>
  </r>
  <r>
    <n v="1142"/>
    <n v="50"/>
    <x v="1"/>
    <x v="0"/>
    <s v="Analyst"/>
    <n v="29438"/>
    <n v="1"/>
    <n v="5"/>
    <x v="1"/>
    <s v="Junior"/>
  </r>
  <r>
    <n v="1143"/>
    <n v="43"/>
    <x v="0"/>
    <x v="0"/>
    <s v="Analyst"/>
    <n v="96225"/>
    <n v="12"/>
    <n v="3"/>
    <x v="0"/>
    <s v="Senior"/>
  </r>
  <r>
    <n v="1144"/>
    <n v="30"/>
    <x v="1"/>
    <x v="3"/>
    <s v="HR Executive"/>
    <n v="105246"/>
    <n v="10"/>
    <n v="3"/>
    <x v="0"/>
    <s v="Senior"/>
  </r>
  <r>
    <n v="1145"/>
    <n v="25"/>
    <x v="0"/>
    <x v="0"/>
    <s v="Developer"/>
    <n v="64232"/>
    <n v="16"/>
    <n v="3"/>
    <x v="0"/>
    <s v="Senior"/>
  </r>
  <r>
    <n v="1146"/>
    <n v="32"/>
    <x v="0"/>
    <x v="2"/>
    <s v="Sales Executive"/>
    <n v="83890"/>
    <n v="15"/>
    <n v="4"/>
    <x v="0"/>
    <s v="Senior"/>
  </r>
  <r>
    <n v="1147"/>
    <n v="55"/>
    <x v="1"/>
    <x v="1"/>
    <s v="Accountant"/>
    <n v="104538"/>
    <n v="10"/>
    <n v="4"/>
    <x v="1"/>
    <s v="Senior"/>
  </r>
  <r>
    <n v="1148"/>
    <n v="56"/>
    <x v="0"/>
    <x v="4"/>
    <s v="Supervisor"/>
    <n v="97534"/>
    <n v="0"/>
    <n v="5"/>
    <x v="0"/>
    <s v="Junior"/>
  </r>
  <r>
    <n v="1149"/>
    <n v="37"/>
    <x v="0"/>
    <x v="2"/>
    <s v="Sales Manager"/>
    <n v="118475"/>
    <n v="13"/>
    <n v="5"/>
    <x v="0"/>
    <s v="Senior"/>
  </r>
  <r>
    <n v="1150"/>
    <n v="24"/>
    <x v="1"/>
    <x v="5"/>
    <s v="SEO Specialist"/>
    <n v="29382"/>
    <n v="20"/>
    <n v="2"/>
    <x v="0"/>
    <s v="Senior"/>
  </r>
  <r>
    <n v="1151"/>
    <n v="58"/>
    <x v="1"/>
    <x v="0"/>
    <s v="Analyst"/>
    <n v="96176"/>
    <n v="3"/>
    <n v="3"/>
    <x v="0"/>
    <s v="Mid-Level"/>
  </r>
  <r>
    <n v="1152"/>
    <n v="50"/>
    <x v="1"/>
    <x v="3"/>
    <s v="HR Executive"/>
    <n v="68862"/>
    <n v="9"/>
    <n v="4"/>
    <x v="0"/>
    <s v="Senior"/>
  </r>
  <r>
    <n v="1153"/>
    <n v="43"/>
    <x v="1"/>
    <x v="1"/>
    <s v="Accountant"/>
    <n v="98510"/>
    <n v="3"/>
    <n v="4"/>
    <x v="0"/>
    <s v="Mid-Level"/>
  </r>
  <r>
    <n v="1154"/>
    <n v="35"/>
    <x v="1"/>
    <x v="4"/>
    <s v="Operations Executive"/>
    <n v="103826"/>
    <n v="17"/>
    <n v="1"/>
    <x v="0"/>
    <s v="Senior"/>
  </r>
  <r>
    <n v="1155"/>
    <n v="53"/>
    <x v="0"/>
    <x v="4"/>
    <s v="Supervisor"/>
    <n v="41772"/>
    <n v="4"/>
    <n v="5"/>
    <x v="0"/>
    <s v="Mid-Level"/>
  </r>
  <r>
    <n v="1156"/>
    <n v="48"/>
    <x v="1"/>
    <x v="0"/>
    <s v="Engineer"/>
    <n v="70833"/>
    <n v="16"/>
    <n v="5"/>
    <x v="1"/>
    <s v="Senior"/>
  </r>
  <r>
    <n v="1157"/>
    <n v="29"/>
    <x v="0"/>
    <x v="4"/>
    <s v="Operations Executive"/>
    <n v="43732"/>
    <n v="10"/>
    <n v="2"/>
    <x v="0"/>
    <s v="Senior"/>
  </r>
  <r>
    <n v="1158"/>
    <n v="34"/>
    <x v="0"/>
    <x v="3"/>
    <s v="Recruiter"/>
    <n v="31291"/>
    <n v="17"/>
    <n v="1"/>
    <x v="0"/>
    <s v="Senior"/>
  </r>
  <r>
    <n v="1159"/>
    <n v="38"/>
    <x v="1"/>
    <x v="4"/>
    <s v="Operations Executive"/>
    <n v="69223"/>
    <n v="6"/>
    <n v="2"/>
    <x v="0"/>
    <s v="Mid-Level"/>
  </r>
  <r>
    <n v="1160"/>
    <n v="26"/>
    <x v="1"/>
    <x v="4"/>
    <s v="Supervisor"/>
    <n v="88160"/>
    <n v="2"/>
    <n v="2"/>
    <x v="0"/>
    <s v="Junior"/>
  </r>
  <r>
    <n v="1161"/>
    <n v="39"/>
    <x v="1"/>
    <x v="1"/>
    <s v="Financial Analyst"/>
    <n v="110365"/>
    <n v="1"/>
    <n v="5"/>
    <x v="1"/>
    <s v="Junior"/>
  </r>
  <r>
    <n v="1162"/>
    <n v="40"/>
    <x v="1"/>
    <x v="4"/>
    <s v="Operations Executive"/>
    <n v="30903"/>
    <n v="9"/>
    <n v="2"/>
    <x v="0"/>
    <s v="Senior"/>
  </r>
  <r>
    <n v="1163"/>
    <n v="43"/>
    <x v="0"/>
    <x v="4"/>
    <s v="Supervisor"/>
    <n v="86280"/>
    <n v="13"/>
    <n v="4"/>
    <x v="0"/>
    <s v="Senior"/>
  </r>
  <r>
    <n v="1164"/>
    <n v="30"/>
    <x v="1"/>
    <x v="2"/>
    <s v="Sales Manager"/>
    <n v="45607"/>
    <n v="9"/>
    <n v="3"/>
    <x v="0"/>
    <s v="Senior"/>
  </r>
  <r>
    <n v="1165"/>
    <n v="54"/>
    <x v="0"/>
    <x v="2"/>
    <s v="Sales Manager"/>
    <n v="90820"/>
    <n v="19"/>
    <n v="1"/>
    <x v="0"/>
    <s v="Senior"/>
  </r>
  <r>
    <n v="1166"/>
    <n v="34"/>
    <x v="1"/>
    <x v="5"/>
    <s v="Marketing Executive"/>
    <n v="44597"/>
    <n v="13"/>
    <n v="1"/>
    <x v="0"/>
    <s v="Senior"/>
  </r>
  <r>
    <n v="1167"/>
    <n v="22"/>
    <x v="1"/>
    <x v="2"/>
    <s v="Sales Manager"/>
    <n v="108470"/>
    <n v="8"/>
    <n v="1"/>
    <x v="0"/>
    <s v="Senior"/>
  </r>
  <r>
    <n v="1168"/>
    <n v="33"/>
    <x v="1"/>
    <x v="2"/>
    <s v="Sales Manager"/>
    <n v="89826"/>
    <n v="11"/>
    <n v="4"/>
    <x v="1"/>
    <s v="Senior"/>
  </r>
  <r>
    <n v="1169"/>
    <n v="29"/>
    <x v="1"/>
    <x v="4"/>
    <s v="Supervisor"/>
    <n v="61921"/>
    <n v="7"/>
    <n v="3"/>
    <x v="1"/>
    <s v="Senior"/>
  </r>
  <r>
    <n v="1170"/>
    <n v="51"/>
    <x v="0"/>
    <x v="1"/>
    <s v="Financial Analyst"/>
    <n v="98307"/>
    <n v="14"/>
    <n v="5"/>
    <x v="0"/>
    <s v="Senior"/>
  </r>
  <r>
    <n v="1171"/>
    <n v="29"/>
    <x v="0"/>
    <x v="5"/>
    <s v="Marketing Executive"/>
    <n v="117720"/>
    <n v="11"/>
    <n v="2"/>
    <x v="0"/>
    <s v="Senior"/>
  </r>
  <r>
    <n v="1172"/>
    <n v="53"/>
    <x v="1"/>
    <x v="1"/>
    <s v="Accountant"/>
    <n v="44461"/>
    <n v="15"/>
    <n v="2"/>
    <x v="0"/>
    <s v="Senior"/>
  </r>
  <r>
    <n v="1173"/>
    <n v="42"/>
    <x v="1"/>
    <x v="1"/>
    <s v="Financial Analyst"/>
    <n v="82772"/>
    <n v="13"/>
    <n v="4"/>
    <x v="0"/>
    <s v="Senior"/>
  </r>
  <r>
    <n v="1174"/>
    <n v="29"/>
    <x v="0"/>
    <x v="5"/>
    <s v="SEO Specialist"/>
    <n v="68301"/>
    <n v="6"/>
    <n v="3"/>
    <x v="0"/>
    <s v="Mid-Level"/>
  </r>
  <r>
    <n v="1175"/>
    <n v="52"/>
    <x v="0"/>
    <x v="3"/>
    <s v="HR Executive"/>
    <n v="71047"/>
    <n v="4"/>
    <n v="5"/>
    <x v="0"/>
    <s v="Mid-Level"/>
  </r>
  <r>
    <n v="1176"/>
    <n v="48"/>
    <x v="0"/>
    <x v="2"/>
    <s v="Sales Manager"/>
    <n v="70252"/>
    <n v="14"/>
    <n v="4"/>
    <x v="0"/>
    <s v="Senior"/>
  </r>
  <r>
    <n v="1177"/>
    <n v="46"/>
    <x v="0"/>
    <x v="3"/>
    <s v="Recruiter"/>
    <n v="32474"/>
    <n v="6"/>
    <n v="1"/>
    <x v="1"/>
    <s v="Mid-Level"/>
  </r>
  <r>
    <n v="1178"/>
    <n v="50"/>
    <x v="1"/>
    <x v="2"/>
    <s v="Sales Manager"/>
    <n v="105500"/>
    <n v="4"/>
    <n v="5"/>
    <x v="0"/>
    <s v="Mid-Level"/>
  </r>
  <r>
    <n v="1179"/>
    <n v="25"/>
    <x v="1"/>
    <x v="4"/>
    <s v="Supervisor"/>
    <n v="118098"/>
    <n v="13"/>
    <n v="4"/>
    <x v="1"/>
    <s v="Senior"/>
  </r>
  <r>
    <n v="1180"/>
    <n v="29"/>
    <x v="0"/>
    <x v="1"/>
    <s v="Financial Analyst"/>
    <n v="79458"/>
    <n v="17"/>
    <n v="4"/>
    <x v="0"/>
    <s v="Senior"/>
  </r>
  <r>
    <n v="1181"/>
    <n v="58"/>
    <x v="0"/>
    <x v="2"/>
    <s v="Sales Executive"/>
    <n v="84570"/>
    <n v="0"/>
    <n v="2"/>
    <x v="0"/>
    <s v="Junior"/>
  </r>
  <r>
    <n v="1182"/>
    <n v="26"/>
    <x v="0"/>
    <x v="1"/>
    <s v="Financial Analyst"/>
    <n v="76072"/>
    <n v="6"/>
    <n v="2"/>
    <x v="1"/>
    <s v="Mid-Level"/>
  </r>
  <r>
    <n v="1183"/>
    <n v="54"/>
    <x v="0"/>
    <x v="3"/>
    <s v="HR Executive"/>
    <n v="68949"/>
    <n v="0"/>
    <n v="5"/>
    <x v="0"/>
    <s v="Junior"/>
  </r>
  <r>
    <n v="1184"/>
    <n v="32"/>
    <x v="1"/>
    <x v="1"/>
    <s v="Accountant"/>
    <n v="88756"/>
    <n v="12"/>
    <n v="4"/>
    <x v="0"/>
    <s v="Senior"/>
  </r>
  <r>
    <n v="1185"/>
    <n v="42"/>
    <x v="1"/>
    <x v="2"/>
    <s v="Sales Manager"/>
    <n v="54018"/>
    <n v="1"/>
    <n v="3"/>
    <x v="0"/>
    <s v="Junior"/>
  </r>
  <r>
    <n v="1186"/>
    <n v="37"/>
    <x v="0"/>
    <x v="1"/>
    <s v="Accountant"/>
    <n v="47417"/>
    <n v="0"/>
    <n v="3"/>
    <x v="0"/>
    <s v="Junior"/>
  </r>
  <r>
    <n v="1187"/>
    <n v="38"/>
    <x v="1"/>
    <x v="2"/>
    <s v="Sales Manager"/>
    <n v="45439"/>
    <n v="13"/>
    <n v="1"/>
    <x v="0"/>
    <s v="Senior"/>
  </r>
  <r>
    <n v="1188"/>
    <n v="29"/>
    <x v="0"/>
    <x v="1"/>
    <s v="Financial Analyst"/>
    <n v="69615"/>
    <n v="12"/>
    <n v="4"/>
    <x v="0"/>
    <s v="Senior"/>
  </r>
  <r>
    <n v="1189"/>
    <n v="40"/>
    <x v="0"/>
    <x v="5"/>
    <s v="SEO Specialist"/>
    <n v="116317"/>
    <n v="3"/>
    <n v="3"/>
    <x v="0"/>
    <s v="Mid-Level"/>
  </r>
  <r>
    <n v="1190"/>
    <n v="22"/>
    <x v="1"/>
    <x v="3"/>
    <s v="HR Executive"/>
    <n v="104835"/>
    <n v="7"/>
    <n v="1"/>
    <x v="0"/>
    <s v="Senior"/>
  </r>
  <r>
    <n v="1191"/>
    <n v="50"/>
    <x v="1"/>
    <x v="1"/>
    <s v="Accountant"/>
    <n v="40564"/>
    <n v="19"/>
    <n v="3"/>
    <x v="1"/>
    <s v="Senior"/>
  </r>
  <r>
    <n v="1192"/>
    <n v="58"/>
    <x v="0"/>
    <x v="5"/>
    <s v="SEO Specialist"/>
    <n v="76701"/>
    <n v="5"/>
    <n v="2"/>
    <x v="0"/>
    <s v="Mid-Level"/>
  </r>
  <r>
    <n v="1193"/>
    <n v="32"/>
    <x v="0"/>
    <x v="0"/>
    <s v="Developer"/>
    <n v="59178"/>
    <n v="14"/>
    <n v="2"/>
    <x v="0"/>
    <s v="Senior"/>
  </r>
  <r>
    <n v="1194"/>
    <n v="57"/>
    <x v="1"/>
    <x v="1"/>
    <s v="Financial Analyst"/>
    <n v="86673"/>
    <n v="12"/>
    <n v="5"/>
    <x v="0"/>
    <s v="Senior"/>
  </r>
  <r>
    <n v="1195"/>
    <n v="44"/>
    <x v="0"/>
    <x v="5"/>
    <s v="SEO Specialist"/>
    <n v="47104"/>
    <n v="5"/>
    <n v="5"/>
    <x v="0"/>
    <s v="Mid-Level"/>
  </r>
  <r>
    <n v="1196"/>
    <n v="41"/>
    <x v="0"/>
    <x v="0"/>
    <s v="Developer"/>
    <n v="116743"/>
    <n v="10"/>
    <n v="3"/>
    <x v="0"/>
    <s v="Senior"/>
  </r>
  <r>
    <n v="1197"/>
    <n v="29"/>
    <x v="0"/>
    <x v="3"/>
    <s v="HR Executive"/>
    <n v="108336"/>
    <n v="1"/>
    <n v="1"/>
    <x v="0"/>
    <s v="Junior"/>
  </r>
  <r>
    <n v="1198"/>
    <n v="26"/>
    <x v="1"/>
    <x v="3"/>
    <s v="HR Executive"/>
    <n v="39126"/>
    <n v="2"/>
    <n v="4"/>
    <x v="0"/>
    <s v="Junior"/>
  </r>
  <r>
    <n v="1199"/>
    <n v="24"/>
    <x v="1"/>
    <x v="3"/>
    <s v="Recruiter"/>
    <n v="42465"/>
    <n v="0"/>
    <n v="5"/>
    <x v="0"/>
    <s v="Junior"/>
  </r>
  <r>
    <n v="1200"/>
    <n v="42"/>
    <x v="1"/>
    <x v="3"/>
    <s v="HR Executive"/>
    <n v="48825"/>
    <n v="16"/>
    <n v="5"/>
    <x v="1"/>
    <s v="Senior"/>
  </r>
  <r>
    <n v="1201"/>
    <n v="25"/>
    <x v="0"/>
    <x v="2"/>
    <s v="Sales Executive"/>
    <n v="56584"/>
    <n v="20"/>
    <n v="5"/>
    <x v="0"/>
    <s v="Senior"/>
  </r>
  <r>
    <n v="1202"/>
    <n v="40"/>
    <x v="0"/>
    <x v="5"/>
    <s v="Marketing Executive"/>
    <n v="113217"/>
    <n v="13"/>
    <n v="5"/>
    <x v="1"/>
    <s v="Senior"/>
  </r>
  <r>
    <n v="1203"/>
    <n v="57"/>
    <x v="1"/>
    <x v="0"/>
    <s v="Engineer"/>
    <n v="86803"/>
    <n v="18"/>
    <n v="4"/>
    <x v="0"/>
    <s v="Senior"/>
  </r>
  <r>
    <n v="1204"/>
    <n v="58"/>
    <x v="0"/>
    <x v="5"/>
    <s v="SEO Specialist"/>
    <n v="24640"/>
    <n v="18"/>
    <n v="4"/>
    <x v="0"/>
    <s v="Senior"/>
  </r>
  <r>
    <n v="1205"/>
    <n v="46"/>
    <x v="0"/>
    <x v="2"/>
    <s v="Sales Manager"/>
    <n v="24711"/>
    <n v="18"/>
    <n v="2"/>
    <x v="1"/>
    <s v="Senior"/>
  </r>
  <r>
    <n v="1206"/>
    <n v="55"/>
    <x v="0"/>
    <x v="1"/>
    <s v="Financial Analyst"/>
    <n v="104705"/>
    <n v="0"/>
    <n v="5"/>
    <x v="0"/>
    <s v="Junior"/>
  </r>
  <r>
    <n v="1207"/>
    <n v="35"/>
    <x v="1"/>
    <x v="1"/>
    <s v="Financial Analyst"/>
    <n v="69021"/>
    <n v="6"/>
    <n v="4"/>
    <x v="0"/>
    <s v="Mid-Level"/>
  </r>
  <r>
    <n v="1208"/>
    <n v="56"/>
    <x v="1"/>
    <x v="0"/>
    <s v="Developer"/>
    <n v="73453"/>
    <n v="1"/>
    <n v="5"/>
    <x v="0"/>
    <s v="Junior"/>
  </r>
  <r>
    <n v="1209"/>
    <n v="43"/>
    <x v="1"/>
    <x v="4"/>
    <s v="Supervisor"/>
    <n v="49344"/>
    <n v="17"/>
    <n v="1"/>
    <x v="0"/>
    <s v="Senior"/>
  </r>
  <r>
    <n v="1210"/>
    <n v="30"/>
    <x v="0"/>
    <x v="4"/>
    <s v="Supervisor"/>
    <n v="89025"/>
    <n v="14"/>
    <n v="4"/>
    <x v="0"/>
    <s v="Senior"/>
  </r>
  <r>
    <n v="1211"/>
    <n v="56"/>
    <x v="0"/>
    <x v="5"/>
    <s v="SEO Specialist"/>
    <n v="68623"/>
    <n v="9"/>
    <n v="4"/>
    <x v="0"/>
    <s v="Senior"/>
  </r>
  <r>
    <n v="1212"/>
    <n v="27"/>
    <x v="0"/>
    <x v="4"/>
    <s v="Supervisor"/>
    <n v="27251"/>
    <n v="16"/>
    <n v="4"/>
    <x v="0"/>
    <s v="Senior"/>
  </r>
  <r>
    <n v="1213"/>
    <n v="39"/>
    <x v="1"/>
    <x v="4"/>
    <s v="Supervisor"/>
    <n v="33575"/>
    <n v="5"/>
    <n v="1"/>
    <x v="0"/>
    <s v="Mid-Level"/>
  </r>
  <r>
    <n v="1214"/>
    <n v="32"/>
    <x v="1"/>
    <x v="5"/>
    <s v="Marketing Executive"/>
    <n v="78840"/>
    <n v="15"/>
    <n v="1"/>
    <x v="0"/>
    <s v="Senior"/>
  </r>
  <r>
    <n v="1215"/>
    <n v="34"/>
    <x v="1"/>
    <x v="4"/>
    <s v="Supervisor"/>
    <n v="81928"/>
    <n v="4"/>
    <n v="4"/>
    <x v="1"/>
    <s v="Mid-Level"/>
  </r>
  <r>
    <n v="1216"/>
    <n v="31"/>
    <x v="0"/>
    <x v="4"/>
    <s v="Operations Executive"/>
    <n v="93030"/>
    <n v="18"/>
    <n v="3"/>
    <x v="0"/>
    <s v="Senior"/>
  </r>
  <r>
    <n v="1217"/>
    <n v="30"/>
    <x v="0"/>
    <x v="4"/>
    <s v="Operations Executive"/>
    <n v="39645"/>
    <n v="12"/>
    <n v="3"/>
    <x v="0"/>
    <s v="Senior"/>
  </r>
  <r>
    <n v="1218"/>
    <n v="22"/>
    <x v="0"/>
    <x v="1"/>
    <s v="Accountant"/>
    <n v="83649"/>
    <n v="3"/>
    <n v="1"/>
    <x v="0"/>
    <s v="Mid-Level"/>
  </r>
  <r>
    <n v="1219"/>
    <n v="34"/>
    <x v="0"/>
    <x v="1"/>
    <s v="Financial Analyst"/>
    <n v="40758"/>
    <n v="1"/>
    <n v="4"/>
    <x v="0"/>
    <s v="Junior"/>
  </r>
  <r>
    <n v="1220"/>
    <n v="28"/>
    <x v="1"/>
    <x v="1"/>
    <s v="Accountant"/>
    <n v="23278"/>
    <n v="16"/>
    <n v="2"/>
    <x v="1"/>
    <s v="Senior"/>
  </r>
  <r>
    <n v="1221"/>
    <n v="41"/>
    <x v="1"/>
    <x v="2"/>
    <s v="Sales Executive"/>
    <n v="83731"/>
    <n v="3"/>
    <n v="2"/>
    <x v="0"/>
    <s v="Mid-Level"/>
  </r>
  <r>
    <n v="1222"/>
    <n v="29"/>
    <x v="0"/>
    <x v="0"/>
    <s v="Developer"/>
    <n v="69657"/>
    <n v="1"/>
    <n v="1"/>
    <x v="0"/>
    <s v="Junior"/>
  </r>
  <r>
    <n v="1223"/>
    <n v="38"/>
    <x v="0"/>
    <x v="1"/>
    <s v="Financial Analyst"/>
    <n v="30595"/>
    <n v="14"/>
    <n v="5"/>
    <x v="0"/>
    <s v="Senior"/>
  </r>
  <r>
    <n v="1224"/>
    <n v="45"/>
    <x v="0"/>
    <x v="0"/>
    <s v="Engineer"/>
    <n v="102810"/>
    <n v="4"/>
    <n v="1"/>
    <x v="0"/>
    <s v="Mid-Level"/>
  </r>
  <r>
    <n v="1225"/>
    <n v="51"/>
    <x v="1"/>
    <x v="1"/>
    <s v="Accountant"/>
    <n v="95966"/>
    <n v="17"/>
    <n v="1"/>
    <x v="0"/>
    <s v="Senior"/>
  </r>
  <r>
    <n v="1226"/>
    <n v="52"/>
    <x v="1"/>
    <x v="0"/>
    <s v="Analyst"/>
    <n v="72729"/>
    <n v="7"/>
    <n v="1"/>
    <x v="0"/>
    <s v="Senior"/>
  </r>
  <r>
    <n v="1227"/>
    <n v="34"/>
    <x v="1"/>
    <x v="5"/>
    <s v="SEO Specialist"/>
    <n v="114268"/>
    <n v="19"/>
    <n v="3"/>
    <x v="0"/>
    <s v="Senior"/>
  </r>
  <r>
    <n v="1228"/>
    <n v="43"/>
    <x v="1"/>
    <x v="3"/>
    <s v="HR Executive"/>
    <n v="62466"/>
    <n v="7"/>
    <n v="5"/>
    <x v="0"/>
    <s v="Senior"/>
  </r>
  <r>
    <n v="1229"/>
    <n v="54"/>
    <x v="0"/>
    <x v="1"/>
    <s v="Financial Analyst"/>
    <n v="43852"/>
    <n v="0"/>
    <n v="1"/>
    <x v="0"/>
    <s v="Junior"/>
  </r>
  <r>
    <n v="1230"/>
    <n v="22"/>
    <x v="1"/>
    <x v="4"/>
    <s v="Operations Executive"/>
    <n v="79229"/>
    <n v="18"/>
    <n v="2"/>
    <x v="0"/>
    <s v="Senior"/>
  </r>
  <r>
    <n v="1231"/>
    <n v="36"/>
    <x v="0"/>
    <x v="1"/>
    <s v="Accountant"/>
    <n v="98176"/>
    <n v="17"/>
    <n v="5"/>
    <x v="1"/>
    <s v="Senior"/>
  </r>
  <r>
    <n v="1232"/>
    <n v="50"/>
    <x v="0"/>
    <x v="5"/>
    <s v="SEO Specialist"/>
    <n v="44485"/>
    <n v="17"/>
    <n v="2"/>
    <x v="0"/>
    <s v="Senior"/>
  </r>
  <r>
    <n v="1233"/>
    <n v="57"/>
    <x v="1"/>
    <x v="3"/>
    <s v="HR Executive"/>
    <n v="20360"/>
    <n v="15"/>
    <n v="4"/>
    <x v="0"/>
    <s v="Senior"/>
  </r>
  <r>
    <n v="1234"/>
    <n v="41"/>
    <x v="0"/>
    <x v="1"/>
    <s v="Accountant"/>
    <n v="72943"/>
    <n v="20"/>
    <n v="1"/>
    <x v="0"/>
    <s v="Senior"/>
  </r>
  <r>
    <n v="1235"/>
    <n v="27"/>
    <x v="0"/>
    <x v="5"/>
    <s v="SEO Specialist"/>
    <n v="114584"/>
    <n v="6"/>
    <n v="3"/>
    <x v="0"/>
    <s v="Mid-Level"/>
  </r>
  <r>
    <n v="1236"/>
    <n v="57"/>
    <x v="0"/>
    <x v="1"/>
    <s v="Accountant"/>
    <n v="80244"/>
    <n v="16"/>
    <n v="4"/>
    <x v="0"/>
    <s v="Senior"/>
  </r>
  <r>
    <n v="1237"/>
    <n v="39"/>
    <x v="0"/>
    <x v="4"/>
    <s v="Supervisor"/>
    <n v="30388"/>
    <n v="0"/>
    <n v="2"/>
    <x v="0"/>
    <s v="Junior"/>
  </r>
  <r>
    <n v="1238"/>
    <n v="32"/>
    <x v="0"/>
    <x v="1"/>
    <s v="Financial Analyst"/>
    <n v="35633"/>
    <n v="10"/>
    <n v="4"/>
    <x v="0"/>
    <s v="Senior"/>
  </r>
  <r>
    <n v="1239"/>
    <n v="38"/>
    <x v="0"/>
    <x v="0"/>
    <s v="Engineer"/>
    <n v="76707"/>
    <n v="14"/>
    <n v="3"/>
    <x v="0"/>
    <s v="Senior"/>
  </r>
  <r>
    <n v="1240"/>
    <n v="54"/>
    <x v="1"/>
    <x v="2"/>
    <s v="Sales Manager"/>
    <n v="96943"/>
    <n v="11"/>
    <n v="1"/>
    <x v="0"/>
    <s v="Senior"/>
  </r>
  <r>
    <n v="1241"/>
    <n v="37"/>
    <x v="0"/>
    <x v="2"/>
    <s v="Sales Executive"/>
    <n v="34210"/>
    <n v="17"/>
    <n v="2"/>
    <x v="0"/>
    <s v="Senior"/>
  </r>
  <r>
    <n v="1242"/>
    <n v="22"/>
    <x v="1"/>
    <x v="4"/>
    <s v="Operations Executive"/>
    <n v="65007"/>
    <n v="1"/>
    <n v="3"/>
    <x v="1"/>
    <s v="Junior"/>
  </r>
  <r>
    <n v="1243"/>
    <n v="27"/>
    <x v="0"/>
    <x v="1"/>
    <s v="Accountant"/>
    <n v="49905"/>
    <n v="0"/>
    <n v="1"/>
    <x v="1"/>
    <s v="Junior"/>
  </r>
  <r>
    <n v="1244"/>
    <n v="35"/>
    <x v="1"/>
    <x v="0"/>
    <s v="Developer"/>
    <n v="32443"/>
    <n v="13"/>
    <n v="2"/>
    <x v="0"/>
    <s v="Senior"/>
  </r>
  <r>
    <n v="1245"/>
    <n v="47"/>
    <x v="0"/>
    <x v="3"/>
    <s v="Recruiter"/>
    <n v="72195"/>
    <n v="6"/>
    <n v="5"/>
    <x v="0"/>
    <s v="Mid-Level"/>
  </r>
  <r>
    <n v="1246"/>
    <n v="54"/>
    <x v="1"/>
    <x v="5"/>
    <s v="Marketing Executive"/>
    <n v="63535"/>
    <n v="9"/>
    <n v="2"/>
    <x v="0"/>
    <s v="Senior"/>
  </r>
  <r>
    <n v="1247"/>
    <n v="54"/>
    <x v="1"/>
    <x v="3"/>
    <s v="Recruiter"/>
    <n v="71890"/>
    <n v="3"/>
    <n v="2"/>
    <x v="0"/>
    <s v="Mid-Level"/>
  </r>
  <r>
    <n v="1248"/>
    <n v="26"/>
    <x v="0"/>
    <x v="1"/>
    <s v="Accountant"/>
    <n v="82590"/>
    <n v="2"/>
    <n v="4"/>
    <x v="0"/>
    <s v="Junior"/>
  </r>
  <r>
    <n v="1249"/>
    <n v="48"/>
    <x v="1"/>
    <x v="3"/>
    <s v="HR Executive"/>
    <n v="66871"/>
    <n v="0"/>
    <n v="4"/>
    <x v="0"/>
    <s v="Junior"/>
  </r>
  <r>
    <n v="1250"/>
    <n v="43"/>
    <x v="0"/>
    <x v="4"/>
    <s v="Operations Executive"/>
    <n v="40303"/>
    <n v="3"/>
    <n v="5"/>
    <x v="0"/>
    <s v="Mid-Level"/>
  </r>
  <r>
    <n v="1251"/>
    <n v="58"/>
    <x v="0"/>
    <x v="2"/>
    <s v="Sales Executive"/>
    <n v="23676"/>
    <n v="15"/>
    <n v="5"/>
    <x v="0"/>
    <s v="Senior"/>
  </r>
  <r>
    <n v="1252"/>
    <n v="26"/>
    <x v="0"/>
    <x v="5"/>
    <s v="Marketing Executive"/>
    <n v="25591"/>
    <n v="6"/>
    <n v="3"/>
    <x v="0"/>
    <s v="Mid-Level"/>
  </r>
  <r>
    <n v="1253"/>
    <n v="36"/>
    <x v="0"/>
    <x v="5"/>
    <s v="Marketing Executive"/>
    <n v="109950"/>
    <n v="13"/>
    <n v="2"/>
    <x v="1"/>
    <s v="Senior"/>
  </r>
  <r>
    <n v="1254"/>
    <n v="34"/>
    <x v="0"/>
    <x v="2"/>
    <s v="Sales Executive"/>
    <n v="118830"/>
    <n v="10"/>
    <n v="5"/>
    <x v="0"/>
    <s v="Senior"/>
  </r>
  <r>
    <n v="1255"/>
    <n v="57"/>
    <x v="0"/>
    <x v="0"/>
    <s v="Developer"/>
    <n v="79391"/>
    <n v="18"/>
    <n v="2"/>
    <x v="0"/>
    <s v="Senior"/>
  </r>
  <r>
    <n v="1256"/>
    <n v="51"/>
    <x v="0"/>
    <x v="5"/>
    <s v="Marketing Executive"/>
    <n v="100333"/>
    <n v="5"/>
    <n v="2"/>
    <x v="0"/>
    <s v="Mid-Level"/>
  </r>
  <r>
    <n v="1257"/>
    <n v="24"/>
    <x v="1"/>
    <x v="3"/>
    <s v="Recruiter"/>
    <n v="46964"/>
    <n v="13"/>
    <n v="5"/>
    <x v="0"/>
    <s v="Senior"/>
  </r>
  <r>
    <n v="1258"/>
    <n v="48"/>
    <x v="1"/>
    <x v="5"/>
    <s v="Marketing Executive"/>
    <n v="97947"/>
    <n v="1"/>
    <n v="3"/>
    <x v="0"/>
    <s v="Junior"/>
  </r>
  <r>
    <n v="1259"/>
    <n v="52"/>
    <x v="0"/>
    <x v="2"/>
    <s v="Sales Manager"/>
    <n v="98498"/>
    <n v="4"/>
    <n v="5"/>
    <x v="0"/>
    <s v="Mid-Level"/>
  </r>
  <r>
    <n v="1260"/>
    <n v="55"/>
    <x v="1"/>
    <x v="5"/>
    <s v="Marketing Executive"/>
    <n v="74413"/>
    <n v="8"/>
    <n v="1"/>
    <x v="0"/>
    <s v="Senior"/>
  </r>
  <r>
    <n v="1261"/>
    <n v="50"/>
    <x v="1"/>
    <x v="4"/>
    <s v="Operations Executive"/>
    <n v="73885"/>
    <n v="10"/>
    <n v="5"/>
    <x v="0"/>
    <s v="Senior"/>
  </r>
  <r>
    <n v="1262"/>
    <n v="45"/>
    <x v="0"/>
    <x v="0"/>
    <s v="Developer"/>
    <n v="116359"/>
    <n v="17"/>
    <n v="2"/>
    <x v="0"/>
    <s v="Senior"/>
  </r>
  <r>
    <n v="1263"/>
    <n v="55"/>
    <x v="1"/>
    <x v="2"/>
    <s v="Sales Executive"/>
    <n v="93164"/>
    <n v="11"/>
    <n v="4"/>
    <x v="0"/>
    <s v="Senior"/>
  </r>
  <r>
    <n v="1264"/>
    <n v="39"/>
    <x v="0"/>
    <x v="1"/>
    <s v="Financial Analyst"/>
    <n v="107754"/>
    <n v="6"/>
    <n v="3"/>
    <x v="0"/>
    <s v="Mid-Level"/>
  </r>
  <r>
    <n v="1265"/>
    <n v="55"/>
    <x v="0"/>
    <x v="5"/>
    <s v="SEO Specialist"/>
    <n v="55495"/>
    <n v="6"/>
    <n v="3"/>
    <x v="0"/>
    <s v="Mid-Level"/>
  </r>
  <r>
    <n v="1266"/>
    <n v="50"/>
    <x v="1"/>
    <x v="2"/>
    <s v="Sales Executive"/>
    <n v="74243"/>
    <n v="0"/>
    <n v="3"/>
    <x v="0"/>
    <s v="Junior"/>
  </r>
  <r>
    <n v="1267"/>
    <n v="38"/>
    <x v="0"/>
    <x v="0"/>
    <s v="Engineer"/>
    <n v="109797"/>
    <n v="11"/>
    <n v="3"/>
    <x v="0"/>
    <s v="Senior"/>
  </r>
  <r>
    <n v="1268"/>
    <n v="45"/>
    <x v="1"/>
    <x v="5"/>
    <s v="Marketing Executive"/>
    <n v="44493"/>
    <n v="18"/>
    <n v="3"/>
    <x v="0"/>
    <s v="Senior"/>
  </r>
  <r>
    <n v="1269"/>
    <n v="48"/>
    <x v="1"/>
    <x v="5"/>
    <s v="Marketing Executive"/>
    <n v="23749"/>
    <n v="18"/>
    <n v="3"/>
    <x v="0"/>
    <s v="Senior"/>
  </r>
  <r>
    <n v="1270"/>
    <n v="36"/>
    <x v="1"/>
    <x v="5"/>
    <s v="Marketing Executive"/>
    <n v="65565"/>
    <n v="2"/>
    <n v="2"/>
    <x v="0"/>
    <s v="Junior"/>
  </r>
  <r>
    <n v="1271"/>
    <n v="58"/>
    <x v="0"/>
    <x v="2"/>
    <s v="Sales Executive"/>
    <n v="117151"/>
    <n v="7"/>
    <n v="1"/>
    <x v="0"/>
    <s v="Senior"/>
  </r>
  <r>
    <n v="1272"/>
    <n v="27"/>
    <x v="0"/>
    <x v="5"/>
    <s v="Marketing Executive"/>
    <n v="47866"/>
    <n v="20"/>
    <n v="5"/>
    <x v="0"/>
    <s v="Senior"/>
  </r>
  <r>
    <n v="1273"/>
    <n v="40"/>
    <x v="0"/>
    <x v="0"/>
    <s v="Analyst"/>
    <n v="75482"/>
    <n v="20"/>
    <n v="5"/>
    <x v="0"/>
    <s v="Senior"/>
  </r>
  <r>
    <n v="1274"/>
    <n v="58"/>
    <x v="1"/>
    <x v="0"/>
    <s v="Developer"/>
    <n v="106075"/>
    <n v="13"/>
    <n v="2"/>
    <x v="1"/>
    <s v="Senior"/>
  </r>
  <r>
    <n v="1275"/>
    <n v="34"/>
    <x v="1"/>
    <x v="2"/>
    <s v="Sales Manager"/>
    <n v="22819"/>
    <n v="18"/>
    <n v="4"/>
    <x v="0"/>
    <s v="Senior"/>
  </r>
  <r>
    <n v="1276"/>
    <n v="41"/>
    <x v="0"/>
    <x v="3"/>
    <s v="HR Executive"/>
    <n v="94244"/>
    <n v="0"/>
    <n v="5"/>
    <x v="0"/>
    <s v="Junior"/>
  </r>
  <r>
    <n v="1277"/>
    <n v="23"/>
    <x v="0"/>
    <x v="3"/>
    <s v="HR Executive"/>
    <n v="95295"/>
    <n v="3"/>
    <n v="5"/>
    <x v="0"/>
    <s v="Mid-Level"/>
  </r>
  <r>
    <n v="1278"/>
    <n v="43"/>
    <x v="1"/>
    <x v="5"/>
    <s v="Marketing Executive"/>
    <n v="95418"/>
    <n v="17"/>
    <n v="5"/>
    <x v="0"/>
    <s v="Senior"/>
  </r>
  <r>
    <n v="1279"/>
    <n v="43"/>
    <x v="0"/>
    <x v="4"/>
    <s v="Operations Executive"/>
    <n v="42505"/>
    <n v="2"/>
    <n v="5"/>
    <x v="0"/>
    <s v="Junior"/>
  </r>
  <r>
    <n v="1280"/>
    <n v="55"/>
    <x v="0"/>
    <x v="3"/>
    <s v="HR Executive"/>
    <n v="24117"/>
    <n v="2"/>
    <n v="5"/>
    <x v="1"/>
    <s v="Junior"/>
  </r>
  <r>
    <n v="1281"/>
    <n v="30"/>
    <x v="1"/>
    <x v="2"/>
    <s v="Sales Manager"/>
    <n v="82662"/>
    <n v="2"/>
    <n v="1"/>
    <x v="0"/>
    <s v="Junior"/>
  </r>
  <r>
    <n v="1282"/>
    <n v="23"/>
    <x v="1"/>
    <x v="4"/>
    <s v="Supervisor"/>
    <n v="111827"/>
    <n v="17"/>
    <n v="5"/>
    <x v="1"/>
    <s v="Senior"/>
  </r>
  <r>
    <n v="1283"/>
    <n v="29"/>
    <x v="1"/>
    <x v="4"/>
    <s v="Supervisor"/>
    <n v="31877"/>
    <n v="1"/>
    <n v="2"/>
    <x v="0"/>
    <s v="Junior"/>
  </r>
  <r>
    <n v="1284"/>
    <n v="39"/>
    <x v="0"/>
    <x v="5"/>
    <s v="SEO Specialist"/>
    <n v="96913"/>
    <n v="4"/>
    <n v="5"/>
    <x v="0"/>
    <s v="Mid-Level"/>
  </r>
  <r>
    <n v="1285"/>
    <n v="34"/>
    <x v="1"/>
    <x v="1"/>
    <s v="Financial Analyst"/>
    <n v="45619"/>
    <n v="14"/>
    <n v="4"/>
    <x v="0"/>
    <s v="Senior"/>
  </r>
  <r>
    <n v="1286"/>
    <n v="37"/>
    <x v="0"/>
    <x v="2"/>
    <s v="Sales Manager"/>
    <n v="97087"/>
    <n v="3"/>
    <n v="2"/>
    <x v="0"/>
    <s v="Mid-Level"/>
  </r>
  <r>
    <n v="1287"/>
    <n v="48"/>
    <x v="1"/>
    <x v="2"/>
    <s v="Sales Manager"/>
    <n v="50837"/>
    <n v="8"/>
    <n v="1"/>
    <x v="0"/>
    <s v="Senior"/>
  </r>
  <r>
    <n v="1288"/>
    <n v="46"/>
    <x v="0"/>
    <x v="5"/>
    <s v="SEO Specialist"/>
    <n v="91856"/>
    <n v="13"/>
    <n v="4"/>
    <x v="0"/>
    <s v="Senior"/>
  </r>
  <r>
    <n v="1289"/>
    <n v="41"/>
    <x v="1"/>
    <x v="3"/>
    <s v="HR Executive"/>
    <n v="71250"/>
    <n v="7"/>
    <n v="1"/>
    <x v="0"/>
    <s v="Senior"/>
  </r>
  <r>
    <n v="1290"/>
    <n v="47"/>
    <x v="1"/>
    <x v="1"/>
    <s v="Financial Analyst"/>
    <n v="107159"/>
    <n v="1"/>
    <n v="2"/>
    <x v="1"/>
    <s v="Junior"/>
  </r>
  <r>
    <n v="1291"/>
    <n v="47"/>
    <x v="0"/>
    <x v="5"/>
    <s v="Marketing Executive"/>
    <n v="115999"/>
    <n v="16"/>
    <n v="4"/>
    <x v="0"/>
    <s v="Senior"/>
  </r>
  <r>
    <n v="1292"/>
    <n v="58"/>
    <x v="1"/>
    <x v="2"/>
    <s v="Sales Manager"/>
    <n v="39189"/>
    <n v="14"/>
    <n v="1"/>
    <x v="0"/>
    <s v="Senior"/>
  </r>
  <r>
    <n v="1293"/>
    <n v="30"/>
    <x v="0"/>
    <x v="1"/>
    <s v="Financial Analyst"/>
    <n v="33525"/>
    <n v="6"/>
    <n v="4"/>
    <x v="0"/>
    <s v="Mid-Level"/>
  </r>
  <r>
    <n v="1294"/>
    <n v="23"/>
    <x v="1"/>
    <x v="2"/>
    <s v="Sales Executive"/>
    <n v="63788"/>
    <n v="13"/>
    <n v="4"/>
    <x v="0"/>
    <s v="Senior"/>
  </r>
  <r>
    <n v="1295"/>
    <n v="44"/>
    <x v="0"/>
    <x v="4"/>
    <s v="Operations Executive"/>
    <n v="94573"/>
    <n v="3"/>
    <n v="1"/>
    <x v="0"/>
    <s v="Mid-Level"/>
  </r>
  <r>
    <n v="1296"/>
    <n v="45"/>
    <x v="1"/>
    <x v="1"/>
    <s v="Financial Analyst"/>
    <n v="97905"/>
    <n v="10"/>
    <n v="1"/>
    <x v="0"/>
    <s v="Senior"/>
  </r>
  <r>
    <n v="1297"/>
    <n v="38"/>
    <x v="1"/>
    <x v="1"/>
    <s v="Financial Analyst"/>
    <n v="102180"/>
    <n v="10"/>
    <n v="2"/>
    <x v="0"/>
    <s v="Senior"/>
  </r>
  <r>
    <n v="1298"/>
    <n v="48"/>
    <x v="0"/>
    <x v="3"/>
    <s v="Recruiter"/>
    <n v="60357"/>
    <n v="15"/>
    <n v="5"/>
    <x v="0"/>
    <s v="Senior"/>
  </r>
  <r>
    <n v="1299"/>
    <n v="45"/>
    <x v="0"/>
    <x v="1"/>
    <s v="Accountant"/>
    <n v="68531"/>
    <n v="14"/>
    <n v="2"/>
    <x v="1"/>
    <s v="Senior"/>
  </r>
  <r>
    <n v="1300"/>
    <n v="33"/>
    <x v="1"/>
    <x v="1"/>
    <s v="Accountant"/>
    <n v="46097"/>
    <n v="15"/>
    <n v="1"/>
    <x v="0"/>
    <s v="Senior"/>
  </r>
  <r>
    <n v="1301"/>
    <n v="58"/>
    <x v="1"/>
    <x v="1"/>
    <s v="Accountant"/>
    <n v="94700"/>
    <n v="4"/>
    <n v="1"/>
    <x v="0"/>
    <s v="Mid-Level"/>
  </r>
  <r>
    <n v="1302"/>
    <n v="31"/>
    <x v="0"/>
    <x v="3"/>
    <s v="Recruiter"/>
    <n v="82780"/>
    <n v="19"/>
    <n v="5"/>
    <x v="0"/>
    <s v="Senior"/>
  </r>
  <r>
    <n v="1303"/>
    <n v="38"/>
    <x v="0"/>
    <x v="1"/>
    <s v="Financial Analyst"/>
    <n v="47121"/>
    <n v="15"/>
    <n v="3"/>
    <x v="0"/>
    <s v="Senior"/>
  </r>
  <r>
    <n v="1304"/>
    <n v="37"/>
    <x v="1"/>
    <x v="2"/>
    <s v="Sales Manager"/>
    <n v="61603"/>
    <n v="3"/>
    <n v="1"/>
    <x v="0"/>
    <s v="Mid-Level"/>
  </r>
  <r>
    <n v="1305"/>
    <n v="43"/>
    <x v="0"/>
    <x v="3"/>
    <s v="Recruiter"/>
    <n v="37121"/>
    <n v="18"/>
    <n v="5"/>
    <x v="0"/>
    <s v="Senior"/>
  </r>
  <r>
    <n v="1306"/>
    <n v="56"/>
    <x v="1"/>
    <x v="2"/>
    <s v="Sales Manager"/>
    <n v="47587"/>
    <n v="5"/>
    <n v="1"/>
    <x v="1"/>
    <s v="Mid-Level"/>
  </r>
  <r>
    <n v="1307"/>
    <n v="43"/>
    <x v="0"/>
    <x v="1"/>
    <s v="Financial Analyst"/>
    <n v="38789"/>
    <n v="11"/>
    <n v="1"/>
    <x v="1"/>
    <s v="Senior"/>
  </r>
  <r>
    <n v="1308"/>
    <n v="29"/>
    <x v="0"/>
    <x v="4"/>
    <s v="Supervisor"/>
    <n v="33463"/>
    <n v="13"/>
    <n v="3"/>
    <x v="0"/>
    <s v="Senior"/>
  </r>
  <r>
    <n v="1309"/>
    <n v="29"/>
    <x v="1"/>
    <x v="2"/>
    <s v="Sales Manager"/>
    <n v="104101"/>
    <n v="4"/>
    <n v="5"/>
    <x v="0"/>
    <s v="Mid-Level"/>
  </r>
  <r>
    <n v="1310"/>
    <n v="56"/>
    <x v="1"/>
    <x v="5"/>
    <s v="SEO Specialist"/>
    <n v="29713"/>
    <n v="13"/>
    <n v="5"/>
    <x v="0"/>
    <s v="Senior"/>
  </r>
  <r>
    <n v="1311"/>
    <n v="54"/>
    <x v="1"/>
    <x v="0"/>
    <s v="Engineer"/>
    <n v="56747"/>
    <n v="14"/>
    <n v="4"/>
    <x v="0"/>
    <s v="Senior"/>
  </r>
  <r>
    <n v="1312"/>
    <n v="28"/>
    <x v="0"/>
    <x v="3"/>
    <s v="HR Executive"/>
    <n v="50570"/>
    <n v="10"/>
    <n v="4"/>
    <x v="0"/>
    <s v="Senior"/>
  </r>
  <r>
    <n v="1313"/>
    <n v="36"/>
    <x v="1"/>
    <x v="2"/>
    <s v="Sales Executive"/>
    <n v="102581"/>
    <n v="20"/>
    <n v="5"/>
    <x v="0"/>
    <s v="Senior"/>
  </r>
  <r>
    <n v="1314"/>
    <n v="37"/>
    <x v="0"/>
    <x v="5"/>
    <s v="Marketing Executive"/>
    <n v="38116"/>
    <n v="0"/>
    <n v="2"/>
    <x v="0"/>
    <s v="Junior"/>
  </r>
  <r>
    <n v="1315"/>
    <n v="45"/>
    <x v="0"/>
    <x v="3"/>
    <s v="Recruiter"/>
    <n v="87282"/>
    <n v="2"/>
    <n v="3"/>
    <x v="0"/>
    <s v="Junior"/>
  </r>
  <r>
    <n v="1316"/>
    <n v="29"/>
    <x v="1"/>
    <x v="3"/>
    <s v="Recruiter"/>
    <n v="29725"/>
    <n v="17"/>
    <n v="4"/>
    <x v="0"/>
    <s v="Senior"/>
  </r>
  <r>
    <n v="1317"/>
    <n v="42"/>
    <x v="1"/>
    <x v="5"/>
    <s v="Marketing Executive"/>
    <n v="64755"/>
    <n v="7"/>
    <n v="4"/>
    <x v="0"/>
    <s v="Senior"/>
  </r>
  <r>
    <n v="1318"/>
    <n v="43"/>
    <x v="1"/>
    <x v="3"/>
    <s v="HR Executive"/>
    <n v="37197"/>
    <n v="14"/>
    <n v="5"/>
    <x v="1"/>
    <s v="Senior"/>
  </r>
  <r>
    <n v="1319"/>
    <n v="48"/>
    <x v="0"/>
    <x v="5"/>
    <s v="SEO Specialist"/>
    <n v="65086"/>
    <n v="18"/>
    <n v="2"/>
    <x v="0"/>
    <s v="Senior"/>
  </r>
  <r>
    <n v="1320"/>
    <n v="54"/>
    <x v="0"/>
    <x v="0"/>
    <s v="Developer"/>
    <n v="65417"/>
    <n v="7"/>
    <n v="1"/>
    <x v="1"/>
    <s v="Senior"/>
  </r>
  <r>
    <n v="1321"/>
    <n v="37"/>
    <x v="1"/>
    <x v="0"/>
    <s v="Developer"/>
    <n v="110404"/>
    <n v="16"/>
    <n v="3"/>
    <x v="0"/>
    <s v="Senior"/>
  </r>
  <r>
    <n v="1322"/>
    <n v="40"/>
    <x v="0"/>
    <x v="0"/>
    <s v="Developer"/>
    <n v="56775"/>
    <n v="9"/>
    <n v="1"/>
    <x v="0"/>
    <s v="Senior"/>
  </r>
  <r>
    <n v="1323"/>
    <n v="56"/>
    <x v="0"/>
    <x v="2"/>
    <s v="Sales Executive"/>
    <n v="92701"/>
    <n v="18"/>
    <n v="3"/>
    <x v="1"/>
    <s v="Senior"/>
  </r>
  <r>
    <n v="1324"/>
    <n v="24"/>
    <x v="0"/>
    <x v="3"/>
    <s v="Recruiter"/>
    <n v="84513"/>
    <n v="14"/>
    <n v="2"/>
    <x v="0"/>
    <s v="Senior"/>
  </r>
  <r>
    <n v="1325"/>
    <n v="51"/>
    <x v="1"/>
    <x v="0"/>
    <s v="Developer"/>
    <n v="84774"/>
    <n v="8"/>
    <n v="2"/>
    <x v="1"/>
    <s v="Senior"/>
  </r>
  <r>
    <n v="1326"/>
    <n v="50"/>
    <x v="0"/>
    <x v="0"/>
    <s v="Developer"/>
    <n v="117286"/>
    <n v="9"/>
    <n v="4"/>
    <x v="1"/>
    <s v="Senior"/>
  </r>
  <r>
    <n v="1327"/>
    <n v="57"/>
    <x v="1"/>
    <x v="0"/>
    <s v="Engineer"/>
    <n v="72122"/>
    <n v="7"/>
    <n v="1"/>
    <x v="1"/>
    <s v="Senior"/>
  </r>
  <r>
    <n v="1328"/>
    <n v="55"/>
    <x v="0"/>
    <x v="1"/>
    <s v="Accountant"/>
    <n v="70889"/>
    <n v="12"/>
    <n v="4"/>
    <x v="0"/>
    <s v="Senior"/>
  </r>
  <r>
    <n v="1329"/>
    <n v="48"/>
    <x v="1"/>
    <x v="0"/>
    <s v="Engineer"/>
    <n v="70190"/>
    <n v="2"/>
    <n v="2"/>
    <x v="0"/>
    <s v="Junior"/>
  </r>
  <r>
    <n v="1330"/>
    <n v="47"/>
    <x v="0"/>
    <x v="2"/>
    <s v="Sales Executive"/>
    <n v="80261"/>
    <n v="1"/>
    <n v="2"/>
    <x v="0"/>
    <s v="Junior"/>
  </r>
  <r>
    <n v="1331"/>
    <n v="28"/>
    <x v="1"/>
    <x v="3"/>
    <s v="Recruiter"/>
    <n v="110714"/>
    <n v="1"/>
    <n v="2"/>
    <x v="1"/>
    <s v="Junior"/>
  </r>
  <r>
    <n v="1332"/>
    <n v="34"/>
    <x v="1"/>
    <x v="3"/>
    <s v="Recruiter"/>
    <n v="112132"/>
    <n v="12"/>
    <n v="3"/>
    <x v="0"/>
    <s v="Senior"/>
  </r>
  <r>
    <n v="1333"/>
    <n v="50"/>
    <x v="1"/>
    <x v="1"/>
    <s v="Financial Analyst"/>
    <n v="47647"/>
    <n v="17"/>
    <n v="2"/>
    <x v="1"/>
    <s v="Senior"/>
  </r>
  <r>
    <n v="1334"/>
    <n v="50"/>
    <x v="1"/>
    <x v="1"/>
    <s v="Accountant"/>
    <n v="24307"/>
    <n v="13"/>
    <n v="4"/>
    <x v="0"/>
    <s v="Senior"/>
  </r>
  <r>
    <n v="1335"/>
    <n v="32"/>
    <x v="1"/>
    <x v="0"/>
    <s v="Engineer"/>
    <n v="119773"/>
    <n v="16"/>
    <n v="4"/>
    <x v="0"/>
    <s v="Senior"/>
  </r>
  <r>
    <n v="1336"/>
    <n v="36"/>
    <x v="0"/>
    <x v="0"/>
    <s v="Developer"/>
    <n v="104314"/>
    <n v="20"/>
    <n v="4"/>
    <x v="0"/>
    <s v="Senior"/>
  </r>
  <r>
    <n v="1337"/>
    <n v="43"/>
    <x v="0"/>
    <x v="0"/>
    <s v="Developer"/>
    <n v="76765"/>
    <n v="5"/>
    <n v="1"/>
    <x v="0"/>
    <s v="Mid-Level"/>
  </r>
  <r>
    <n v="1338"/>
    <n v="51"/>
    <x v="1"/>
    <x v="3"/>
    <s v="Recruiter"/>
    <n v="107940"/>
    <n v="6"/>
    <n v="2"/>
    <x v="1"/>
    <s v="Mid-Level"/>
  </r>
  <r>
    <n v="1339"/>
    <n v="54"/>
    <x v="0"/>
    <x v="1"/>
    <s v="Accountant"/>
    <n v="36367"/>
    <n v="19"/>
    <n v="5"/>
    <x v="0"/>
    <s v="Senior"/>
  </r>
  <r>
    <n v="1340"/>
    <n v="57"/>
    <x v="1"/>
    <x v="5"/>
    <s v="SEO Specialist"/>
    <n v="78719"/>
    <n v="0"/>
    <n v="3"/>
    <x v="0"/>
    <s v="Junior"/>
  </r>
  <r>
    <n v="1341"/>
    <n v="28"/>
    <x v="1"/>
    <x v="5"/>
    <s v="Marketing Executive"/>
    <n v="79140"/>
    <n v="0"/>
    <n v="2"/>
    <x v="0"/>
    <s v="Junior"/>
  </r>
  <r>
    <n v="1342"/>
    <n v="45"/>
    <x v="1"/>
    <x v="3"/>
    <s v="HR Executive"/>
    <n v="50870"/>
    <n v="8"/>
    <n v="5"/>
    <x v="0"/>
    <s v="Senior"/>
  </r>
  <r>
    <n v="1343"/>
    <n v="23"/>
    <x v="0"/>
    <x v="1"/>
    <s v="Financial Analyst"/>
    <n v="61007"/>
    <n v="20"/>
    <n v="1"/>
    <x v="0"/>
    <s v="Senior"/>
  </r>
  <r>
    <n v="1344"/>
    <n v="30"/>
    <x v="0"/>
    <x v="0"/>
    <s v="Developer"/>
    <n v="89776"/>
    <n v="16"/>
    <n v="4"/>
    <x v="0"/>
    <s v="Senior"/>
  </r>
  <r>
    <n v="1345"/>
    <n v="41"/>
    <x v="1"/>
    <x v="2"/>
    <s v="Sales Executive"/>
    <n v="75899"/>
    <n v="18"/>
    <n v="2"/>
    <x v="0"/>
    <s v="Senior"/>
  </r>
  <r>
    <n v="1346"/>
    <n v="54"/>
    <x v="1"/>
    <x v="2"/>
    <s v="Sales Manager"/>
    <n v="41562"/>
    <n v="14"/>
    <n v="5"/>
    <x v="1"/>
    <s v="Senior"/>
  </r>
  <r>
    <n v="1347"/>
    <n v="54"/>
    <x v="1"/>
    <x v="5"/>
    <s v="SEO Specialist"/>
    <n v="115232"/>
    <n v="19"/>
    <n v="5"/>
    <x v="0"/>
    <s v="Senior"/>
  </r>
  <r>
    <n v="1348"/>
    <n v="55"/>
    <x v="1"/>
    <x v="1"/>
    <s v="Financial Analyst"/>
    <n v="44105"/>
    <n v="3"/>
    <n v="2"/>
    <x v="0"/>
    <s v="Mid-Level"/>
  </r>
  <r>
    <n v="1349"/>
    <n v="28"/>
    <x v="1"/>
    <x v="4"/>
    <s v="Supervisor"/>
    <n v="116793"/>
    <n v="4"/>
    <n v="4"/>
    <x v="0"/>
    <s v="Mid-Level"/>
  </r>
  <r>
    <n v="1350"/>
    <n v="43"/>
    <x v="1"/>
    <x v="1"/>
    <s v="Accountant"/>
    <n v="67766"/>
    <n v="16"/>
    <n v="1"/>
    <x v="0"/>
    <s v="Senior"/>
  </r>
  <r>
    <n v="1351"/>
    <n v="24"/>
    <x v="0"/>
    <x v="3"/>
    <s v="Recruiter"/>
    <n v="100586"/>
    <n v="19"/>
    <n v="1"/>
    <x v="1"/>
    <s v="Senior"/>
  </r>
  <r>
    <n v="1352"/>
    <n v="51"/>
    <x v="0"/>
    <x v="4"/>
    <s v="Operations Executive"/>
    <n v="70314"/>
    <n v="4"/>
    <n v="4"/>
    <x v="0"/>
    <s v="Mid-Level"/>
  </r>
  <r>
    <n v="1353"/>
    <n v="26"/>
    <x v="1"/>
    <x v="3"/>
    <s v="Recruiter"/>
    <n v="115181"/>
    <n v="17"/>
    <n v="1"/>
    <x v="0"/>
    <s v="Senior"/>
  </r>
  <r>
    <n v="1354"/>
    <n v="33"/>
    <x v="1"/>
    <x v="0"/>
    <s v="Developer"/>
    <n v="113025"/>
    <n v="10"/>
    <n v="3"/>
    <x v="0"/>
    <s v="Senior"/>
  </r>
  <r>
    <n v="1355"/>
    <n v="49"/>
    <x v="1"/>
    <x v="0"/>
    <s v="Engineer"/>
    <n v="72930"/>
    <n v="15"/>
    <n v="5"/>
    <x v="0"/>
    <s v="Senior"/>
  </r>
  <r>
    <n v="1356"/>
    <n v="53"/>
    <x v="0"/>
    <x v="2"/>
    <s v="Sales Executive"/>
    <n v="71807"/>
    <n v="16"/>
    <n v="3"/>
    <x v="0"/>
    <s v="Senior"/>
  </r>
  <r>
    <n v="1357"/>
    <n v="31"/>
    <x v="1"/>
    <x v="5"/>
    <s v="SEO Specialist"/>
    <n v="104031"/>
    <n v="7"/>
    <n v="1"/>
    <x v="0"/>
    <s v="Senior"/>
  </r>
  <r>
    <n v="1358"/>
    <n v="54"/>
    <x v="0"/>
    <x v="1"/>
    <s v="Financial Analyst"/>
    <n v="118537"/>
    <n v="20"/>
    <n v="5"/>
    <x v="0"/>
    <s v="Senior"/>
  </r>
  <r>
    <n v="1359"/>
    <n v="41"/>
    <x v="1"/>
    <x v="3"/>
    <s v="HR Executive"/>
    <n v="56998"/>
    <n v="11"/>
    <n v="4"/>
    <x v="1"/>
    <s v="Senior"/>
  </r>
  <r>
    <n v="1360"/>
    <n v="23"/>
    <x v="1"/>
    <x v="4"/>
    <s v="Supervisor"/>
    <n v="57737"/>
    <n v="0"/>
    <n v="5"/>
    <x v="1"/>
    <s v="Junior"/>
  </r>
  <r>
    <n v="1361"/>
    <n v="26"/>
    <x v="1"/>
    <x v="4"/>
    <s v="Operations Executive"/>
    <n v="119557"/>
    <n v="13"/>
    <n v="3"/>
    <x v="0"/>
    <s v="Senior"/>
  </r>
  <r>
    <n v="1362"/>
    <n v="47"/>
    <x v="0"/>
    <x v="2"/>
    <s v="Sales Executive"/>
    <n v="47347"/>
    <n v="6"/>
    <n v="4"/>
    <x v="0"/>
    <s v="Mid-Level"/>
  </r>
  <r>
    <n v="1363"/>
    <n v="32"/>
    <x v="0"/>
    <x v="5"/>
    <s v="Marketing Executive"/>
    <n v="36287"/>
    <n v="19"/>
    <n v="2"/>
    <x v="0"/>
    <s v="Senior"/>
  </r>
  <r>
    <n v="1364"/>
    <n v="24"/>
    <x v="1"/>
    <x v="3"/>
    <s v="HR Executive"/>
    <n v="77962"/>
    <n v="20"/>
    <n v="5"/>
    <x v="0"/>
    <s v="Senior"/>
  </r>
  <r>
    <n v="1365"/>
    <n v="28"/>
    <x v="0"/>
    <x v="4"/>
    <s v="Operations Executive"/>
    <n v="53407"/>
    <n v="8"/>
    <n v="4"/>
    <x v="1"/>
    <s v="Senior"/>
  </r>
  <r>
    <n v="1366"/>
    <n v="49"/>
    <x v="0"/>
    <x v="1"/>
    <s v="Accountant"/>
    <n v="67041"/>
    <n v="9"/>
    <n v="5"/>
    <x v="0"/>
    <s v="Senior"/>
  </r>
  <r>
    <n v="1367"/>
    <n v="35"/>
    <x v="0"/>
    <x v="1"/>
    <s v="Financial Analyst"/>
    <n v="29764"/>
    <n v="7"/>
    <n v="4"/>
    <x v="0"/>
    <s v="Senior"/>
  </r>
  <r>
    <n v="1368"/>
    <n v="35"/>
    <x v="0"/>
    <x v="0"/>
    <s v="Analyst"/>
    <n v="40340"/>
    <n v="20"/>
    <n v="3"/>
    <x v="0"/>
    <s v="Senior"/>
  </r>
  <r>
    <n v="1369"/>
    <n v="52"/>
    <x v="0"/>
    <x v="0"/>
    <s v="Analyst"/>
    <n v="53645"/>
    <n v="11"/>
    <n v="2"/>
    <x v="0"/>
    <s v="Senior"/>
  </r>
  <r>
    <n v="1370"/>
    <n v="53"/>
    <x v="1"/>
    <x v="3"/>
    <s v="Recruiter"/>
    <n v="50615"/>
    <n v="12"/>
    <n v="5"/>
    <x v="0"/>
    <s v="Senior"/>
  </r>
  <r>
    <n v="1371"/>
    <n v="35"/>
    <x v="0"/>
    <x v="0"/>
    <s v="Analyst"/>
    <n v="20352"/>
    <n v="4"/>
    <n v="5"/>
    <x v="0"/>
    <s v="Mid-Level"/>
  </r>
  <r>
    <n v="1372"/>
    <n v="50"/>
    <x v="0"/>
    <x v="0"/>
    <s v="Developer"/>
    <n v="49329"/>
    <n v="0"/>
    <n v="1"/>
    <x v="0"/>
    <s v="Junior"/>
  </r>
  <r>
    <n v="1373"/>
    <n v="44"/>
    <x v="0"/>
    <x v="0"/>
    <s v="Engineer"/>
    <n v="42010"/>
    <n v="11"/>
    <n v="4"/>
    <x v="0"/>
    <s v="Senior"/>
  </r>
  <r>
    <n v="1374"/>
    <n v="35"/>
    <x v="0"/>
    <x v="5"/>
    <s v="Marketing Executive"/>
    <n v="69756"/>
    <n v="5"/>
    <n v="5"/>
    <x v="0"/>
    <s v="Mid-Level"/>
  </r>
  <r>
    <n v="1375"/>
    <n v="42"/>
    <x v="0"/>
    <x v="3"/>
    <s v="Recruiter"/>
    <n v="34639"/>
    <n v="16"/>
    <n v="1"/>
    <x v="0"/>
    <s v="Senior"/>
  </r>
  <r>
    <n v="1376"/>
    <n v="58"/>
    <x v="0"/>
    <x v="0"/>
    <s v="Analyst"/>
    <n v="77578"/>
    <n v="6"/>
    <n v="4"/>
    <x v="0"/>
    <s v="Mid-Level"/>
  </r>
  <r>
    <n v="1377"/>
    <n v="37"/>
    <x v="1"/>
    <x v="0"/>
    <s v="Developer"/>
    <n v="85033"/>
    <n v="2"/>
    <n v="3"/>
    <x v="0"/>
    <s v="Junior"/>
  </r>
  <r>
    <n v="1378"/>
    <n v="24"/>
    <x v="0"/>
    <x v="1"/>
    <s v="Financial Analyst"/>
    <n v="68097"/>
    <n v="9"/>
    <n v="5"/>
    <x v="1"/>
    <s v="Senior"/>
  </r>
  <r>
    <n v="1379"/>
    <n v="30"/>
    <x v="0"/>
    <x v="0"/>
    <s v="Developer"/>
    <n v="106200"/>
    <n v="16"/>
    <n v="1"/>
    <x v="0"/>
    <s v="Senior"/>
  </r>
  <r>
    <n v="1380"/>
    <n v="47"/>
    <x v="1"/>
    <x v="5"/>
    <s v="SEO Specialist"/>
    <n v="31462"/>
    <n v="1"/>
    <n v="1"/>
    <x v="0"/>
    <s v="Junior"/>
  </r>
  <r>
    <n v="1381"/>
    <n v="45"/>
    <x v="0"/>
    <x v="2"/>
    <s v="Sales Manager"/>
    <n v="97591"/>
    <n v="13"/>
    <n v="3"/>
    <x v="0"/>
    <s v="Senior"/>
  </r>
  <r>
    <n v="1382"/>
    <n v="38"/>
    <x v="0"/>
    <x v="2"/>
    <s v="Sales Executive"/>
    <n v="67436"/>
    <n v="19"/>
    <n v="4"/>
    <x v="0"/>
    <s v="Senior"/>
  </r>
  <r>
    <n v="1383"/>
    <n v="49"/>
    <x v="0"/>
    <x v="2"/>
    <s v="Sales Executive"/>
    <n v="67674"/>
    <n v="20"/>
    <n v="3"/>
    <x v="0"/>
    <s v="Senior"/>
  </r>
  <r>
    <n v="1384"/>
    <n v="55"/>
    <x v="1"/>
    <x v="2"/>
    <s v="Sales Executive"/>
    <n v="61750"/>
    <n v="17"/>
    <n v="4"/>
    <x v="0"/>
    <s v="Senior"/>
  </r>
  <r>
    <n v="1385"/>
    <n v="50"/>
    <x v="0"/>
    <x v="2"/>
    <s v="Sales Manager"/>
    <n v="38987"/>
    <n v="13"/>
    <n v="1"/>
    <x v="0"/>
    <s v="Senior"/>
  </r>
  <r>
    <n v="1386"/>
    <n v="49"/>
    <x v="0"/>
    <x v="5"/>
    <s v="Marketing Executive"/>
    <n v="68454"/>
    <n v="13"/>
    <n v="1"/>
    <x v="0"/>
    <s v="Senior"/>
  </r>
  <r>
    <n v="1387"/>
    <n v="52"/>
    <x v="1"/>
    <x v="0"/>
    <s v="Engineer"/>
    <n v="70214"/>
    <n v="10"/>
    <n v="3"/>
    <x v="1"/>
    <s v="Senior"/>
  </r>
  <r>
    <n v="1388"/>
    <n v="30"/>
    <x v="0"/>
    <x v="4"/>
    <s v="Operations Executive"/>
    <n v="36431"/>
    <n v="4"/>
    <n v="2"/>
    <x v="0"/>
    <s v="Mid-Level"/>
  </r>
  <r>
    <n v="1389"/>
    <n v="43"/>
    <x v="1"/>
    <x v="4"/>
    <s v="Operations Executive"/>
    <n v="92165"/>
    <n v="9"/>
    <n v="4"/>
    <x v="0"/>
    <s v="Senior"/>
  </r>
  <r>
    <n v="1390"/>
    <n v="39"/>
    <x v="1"/>
    <x v="2"/>
    <s v="Sales Executive"/>
    <n v="89940"/>
    <n v="18"/>
    <n v="3"/>
    <x v="0"/>
    <s v="Senior"/>
  </r>
  <r>
    <n v="1391"/>
    <n v="41"/>
    <x v="0"/>
    <x v="1"/>
    <s v="Accountant"/>
    <n v="66926"/>
    <n v="9"/>
    <n v="1"/>
    <x v="0"/>
    <s v="Senior"/>
  </r>
  <r>
    <n v="1392"/>
    <n v="47"/>
    <x v="0"/>
    <x v="1"/>
    <s v="Financial Analyst"/>
    <n v="77351"/>
    <n v="1"/>
    <n v="5"/>
    <x v="1"/>
    <s v="Junior"/>
  </r>
  <r>
    <n v="1393"/>
    <n v="33"/>
    <x v="1"/>
    <x v="5"/>
    <s v="SEO Specialist"/>
    <n v="58823"/>
    <n v="10"/>
    <n v="1"/>
    <x v="0"/>
    <s v="Senior"/>
  </r>
  <r>
    <n v="1394"/>
    <n v="38"/>
    <x v="1"/>
    <x v="0"/>
    <s v="Developer"/>
    <n v="106723"/>
    <n v="18"/>
    <n v="3"/>
    <x v="0"/>
    <s v="Senior"/>
  </r>
  <r>
    <n v="1395"/>
    <n v="43"/>
    <x v="0"/>
    <x v="3"/>
    <s v="HR Executive"/>
    <n v="21350"/>
    <n v="17"/>
    <n v="5"/>
    <x v="0"/>
    <s v="Senior"/>
  </r>
  <r>
    <n v="1396"/>
    <n v="32"/>
    <x v="1"/>
    <x v="0"/>
    <s v="Analyst"/>
    <n v="78848"/>
    <n v="20"/>
    <n v="1"/>
    <x v="1"/>
    <s v="Senior"/>
  </r>
  <r>
    <n v="1397"/>
    <n v="41"/>
    <x v="0"/>
    <x v="0"/>
    <s v="Developer"/>
    <n v="108048"/>
    <n v="4"/>
    <n v="2"/>
    <x v="0"/>
    <s v="Mid-Level"/>
  </r>
  <r>
    <n v="1398"/>
    <n v="53"/>
    <x v="1"/>
    <x v="3"/>
    <s v="HR Executive"/>
    <n v="68751"/>
    <n v="8"/>
    <n v="5"/>
    <x v="0"/>
    <s v="Senior"/>
  </r>
  <r>
    <n v="1399"/>
    <n v="30"/>
    <x v="1"/>
    <x v="1"/>
    <s v="Financial Analyst"/>
    <n v="83008"/>
    <n v="9"/>
    <n v="5"/>
    <x v="1"/>
    <s v="Senior"/>
  </r>
  <r>
    <n v="1400"/>
    <n v="38"/>
    <x v="0"/>
    <x v="5"/>
    <s v="Marketing Executive"/>
    <n v="70376"/>
    <n v="5"/>
    <n v="1"/>
    <x v="0"/>
    <s v="Mid-Level"/>
  </r>
  <r>
    <n v="1401"/>
    <n v="52"/>
    <x v="1"/>
    <x v="2"/>
    <s v="Sales Manager"/>
    <n v="60380"/>
    <n v="0"/>
    <n v="5"/>
    <x v="0"/>
    <s v="Junior"/>
  </r>
  <r>
    <n v="1402"/>
    <n v="39"/>
    <x v="0"/>
    <x v="4"/>
    <s v="Operations Executive"/>
    <n v="58232"/>
    <n v="14"/>
    <n v="3"/>
    <x v="0"/>
    <s v="Senior"/>
  </r>
  <r>
    <n v="1403"/>
    <n v="46"/>
    <x v="1"/>
    <x v="2"/>
    <s v="Sales Manager"/>
    <n v="47392"/>
    <n v="1"/>
    <n v="1"/>
    <x v="0"/>
    <s v="Junior"/>
  </r>
  <r>
    <n v="1404"/>
    <n v="39"/>
    <x v="1"/>
    <x v="5"/>
    <s v="Marketing Executive"/>
    <n v="46029"/>
    <n v="15"/>
    <n v="4"/>
    <x v="0"/>
    <s v="Senior"/>
  </r>
  <r>
    <n v="1405"/>
    <n v="35"/>
    <x v="1"/>
    <x v="1"/>
    <s v="Financial Analyst"/>
    <n v="48772"/>
    <n v="12"/>
    <n v="1"/>
    <x v="0"/>
    <s v="Senior"/>
  </r>
  <r>
    <n v="1406"/>
    <n v="52"/>
    <x v="0"/>
    <x v="0"/>
    <s v="Developer"/>
    <n v="23237"/>
    <n v="18"/>
    <n v="2"/>
    <x v="0"/>
    <s v="Senior"/>
  </r>
  <r>
    <n v="1407"/>
    <n v="38"/>
    <x v="1"/>
    <x v="3"/>
    <s v="HR Executive"/>
    <n v="103547"/>
    <n v="16"/>
    <n v="2"/>
    <x v="0"/>
    <s v="Senior"/>
  </r>
  <r>
    <n v="1408"/>
    <n v="42"/>
    <x v="1"/>
    <x v="5"/>
    <s v="Marketing Executive"/>
    <n v="40102"/>
    <n v="10"/>
    <n v="1"/>
    <x v="1"/>
    <s v="Senior"/>
  </r>
  <r>
    <n v="1409"/>
    <n v="50"/>
    <x v="1"/>
    <x v="2"/>
    <s v="Sales Executive"/>
    <n v="98821"/>
    <n v="8"/>
    <n v="3"/>
    <x v="0"/>
    <s v="Senior"/>
  </r>
  <r>
    <n v="1410"/>
    <n v="54"/>
    <x v="1"/>
    <x v="2"/>
    <s v="Sales Executive"/>
    <n v="90391"/>
    <n v="18"/>
    <n v="2"/>
    <x v="0"/>
    <s v="Senior"/>
  </r>
  <r>
    <n v="1411"/>
    <n v="55"/>
    <x v="1"/>
    <x v="3"/>
    <s v="HR Executive"/>
    <n v="68809"/>
    <n v="18"/>
    <n v="2"/>
    <x v="0"/>
    <s v="Senior"/>
  </r>
  <r>
    <n v="1412"/>
    <n v="53"/>
    <x v="0"/>
    <x v="2"/>
    <s v="Sales Executive"/>
    <n v="69376"/>
    <n v="6"/>
    <n v="1"/>
    <x v="0"/>
    <s v="Mid-Level"/>
  </r>
  <r>
    <n v="1413"/>
    <n v="25"/>
    <x v="0"/>
    <x v="5"/>
    <s v="SEO Specialist"/>
    <n v="70951"/>
    <n v="6"/>
    <n v="1"/>
    <x v="1"/>
    <s v="Mid-Level"/>
  </r>
  <r>
    <n v="1414"/>
    <n v="38"/>
    <x v="1"/>
    <x v="2"/>
    <s v="Sales Executive"/>
    <n v="100266"/>
    <n v="18"/>
    <n v="5"/>
    <x v="0"/>
    <s v="Senior"/>
  </r>
  <r>
    <n v="1415"/>
    <n v="26"/>
    <x v="0"/>
    <x v="4"/>
    <s v="Supervisor"/>
    <n v="92409"/>
    <n v="2"/>
    <n v="5"/>
    <x v="1"/>
    <s v="Junior"/>
  </r>
  <r>
    <n v="1416"/>
    <n v="42"/>
    <x v="1"/>
    <x v="0"/>
    <s v="Analyst"/>
    <n v="112095"/>
    <n v="20"/>
    <n v="5"/>
    <x v="1"/>
    <s v="Senior"/>
  </r>
  <r>
    <n v="1417"/>
    <n v="38"/>
    <x v="0"/>
    <x v="1"/>
    <s v="Financial Analyst"/>
    <n v="119804"/>
    <n v="20"/>
    <n v="1"/>
    <x v="0"/>
    <s v="Senior"/>
  </r>
  <r>
    <n v="1418"/>
    <n v="31"/>
    <x v="0"/>
    <x v="1"/>
    <s v="Financial Analyst"/>
    <n v="33360"/>
    <n v="3"/>
    <n v="5"/>
    <x v="0"/>
    <s v="Mid-Level"/>
  </r>
  <r>
    <n v="1419"/>
    <n v="53"/>
    <x v="0"/>
    <x v="5"/>
    <s v="Marketing Executive"/>
    <n v="92591"/>
    <n v="0"/>
    <n v="3"/>
    <x v="0"/>
    <s v="Junior"/>
  </r>
  <r>
    <n v="1420"/>
    <n v="47"/>
    <x v="1"/>
    <x v="2"/>
    <s v="Sales Executive"/>
    <n v="96691"/>
    <n v="6"/>
    <n v="4"/>
    <x v="0"/>
    <s v="Mid-Level"/>
  </r>
  <r>
    <n v="1421"/>
    <n v="34"/>
    <x v="1"/>
    <x v="5"/>
    <s v="SEO Specialist"/>
    <n v="100008"/>
    <n v="13"/>
    <n v="5"/>
    <x v="0"/>
    <s v="Senior"/>
  </r>
  <r>
    <n v="1422"/>
    <n v="41"/>
    <x v="1"/>
    <x v="2"/>
    <s v="Sales Manager"/>
    <n v="72567"/>
    <n v="10"/>
    <n v="1"/>
    <x v="0"/>
    <s v="Senior"/>
  </r>
  <r>
    <n v="1423"/>
    <n v="46"/>
    <x v="1"/>
    <x v="1"/>
    <s v="Financial Analyst"/>
    <n v="63861"/>
    <n v="8"/>
    <n v="2"/>
    <x v="0"/>
    <s v="Senior"/>
  </r>
  <r>
    <n v="1424"/>
    <n v="38"/>
    <x v="0"/>
    <x v="3"/>
    <s v="HR Executive"/>
    <n v="20150"/>
    <n v="1"/>
    <n v="2"/>
    <x v="0"/>
    <s v="Junior"/>
  </r>
  <r>
    <n v="1425"/>
    <n v="29"/>
    <x v="1"/>
    <x v="1"/>
    <s v="Financial Analyst"/>
    <n v="58242"/>
    <n v="14"/>
    <n v="1"/>
    <x v="0"/>
    <s v="Senior"/>
  </r>
  <r>
    <n v="1426"/>
    <n v="31"/>
    <x v="0"/>
    <x v="4"/>
    <s v="Operations Executive"/>
    <n v="117440"/>
    <n v="3"/>
    <n v="2"/>
    <x v="0"/>
    <s v="Mid-Level"/>
  </r>
  <r>
    <n v="1427"/>
    <n v="25"/>
    <x v="1"/>
    <x v="4"/>
    <s v="Operations Executive"/>
    <n v="43200"/>
    <n v="0"/>
    <n v="5"/>
    <x v="0"/>
    <s v="Junior"/>
  </r>
  <r>
    <n v="1428"/>
    <n v="57"/>
    <x v="1"/>
    <x v="2"/>
    <s v="Sales Manager"/>
    <n v="55698"/>
    <n v="17"/>
    <n v="5"/>
    <x v="1"/>
    <s v="Senior"/>
  </r>
  <r>
    <n v="1429"/>
    <n v="35"/>
    <x v="0"/>
    <x v="4"/>
    <s v="Supervisor"/>
    <n v="30213"/>
    <n v="6"/>
    <n v="4"/>
    <x v="0"/>
    <s v="Mid-Level"/>
  </r>
  <r>
    <n v="1430"/>
    <n v="24"/>
    <x v="0"/>
    <x v="2"/>
    <s v="Sales Executive"/>
    <n v="75504"/>
    <n v="11"/>
    <n v="3"/>
    <x v="1"/>
    <s v="Senior"/>
  </r>
  <r>
    <n v="1431"/>
    <n v="52"/>
    <x v="1"/>
    <x v="5"/>
    <s v="SEO Specialist"/>
    <n v="67448"/>
    <n v="9"/>
    <n v="2"/>
    <x v="0"/>
    <s v="Senior"/>
  </r>
  <r>
    <n v="1432"/>
    <n v="29"/>
    <x v="1"/>
    <x v="5"/>
    <s v="Marketing Executive"/>
    <n v="97149"/>
    <n v="3"/>
    <n v="2"/>
    <x v="1"/>
    <s v="Mid-Level"/>
  </r>
  <r>
    <n v="1433"/>
    <n v="24"/>
    <x v="0"/>
    <x v="1"/>
    <s v="Financial Analyst"/>
    <n v="50898"/>
    <n v="10"/>
    <n v="5"/>
    <x v="0"/>
    <s v="Senior"/>
  </r>
  <r>
    <n v="1434"/>
    <n v="36"/>
    <x v="0"/>
    <x v="0"/>
    <s v="Developer"/>
    <n v="116445"/>
    <n v="2"/>
    <n v="5"/>
    <x v="0"/>
    <s v="Junior"/>
  </r>
  <r>
    <n v="1435"/>
    <n v="52"/>
    <x v="0"/>
    <x v="1"/>
    <s v="Financial Analyst"/>
    <n v="74318"/>
    <n v="18"/>
    <n v="3"/>
    <x v="0"/>
    <s v="Senior"/>
  </r>
  <r>
    <n v="1436"/>
    <n v="22"/>
    <x v="1"/>
    <x v="4"/>
    <s v="Supervisor"/>
    <n v="80932"/>
    <n v="15"/>
    <n v="5"/>
    <x v="0"/>
    <s v="Senior"/>
  </r>
  <r>
    <n v="1437"/>
    <n v="26"/>
    <x v="1"/>
    <x v="0"/>
    <s v="Developer"/>
    <n v="40916"/>
    <n v="15"/>
    <n v="5"/>
    <x v="0"/>
    <s v="Senior"/>
  </r>
  <r>
    <n v="1438"/>
    <n v="32"/>
    <x v="0"/>
    <x v="4"/>
    <s v="Supervisor"/>
    <n v="84313"/>
    <n v="0"/>
    <n v="3"/>
    <x v="0"/>
    <s v="Junior"/>
  </r>
  <r>
    <n v="1439"/>
    <n v="25"/>
    <x v="1"/>
    <x v="4"/>
    <s v="Operations Executive"/>
    <n v="74128"/>
    <n v="9"/>
    <n v="2"/>
    <x v="0"/>
    <s v="Senior"/>
  </r>
  <r>
    <n v="1440"/>
    <n v="24"/>
    <x v="1"/>
    <x v="0"/>
    <s v="Analyst"/>
    <n v="50094"/>
    <n v="4"/>
    <n v="3"/>
    <x v="1"/>
    <s v="Mid-Level"/>
  </r>
  <r>
    <n v="1441"/>
    <n v="49"/>
    <x v="0"/>
    <x v="3"/>
    <s v="Recruiter"/>
    <n v="95885"/>
    <n v="3"/>
    <n v="4"/>
    <x v="1"/>
    <s v="Mid-Level"/>
  </r>
  <r>
    <n v="1442"/>
    <n v="34"/>
    <x v="0"/>
    <x v="0"/>
    <s v="Developer"/>
    <n v="38128"/>
    <n v="20"/>
    <n v="5"/>
    <x v="0"/>
    <s v="Senior"/>
  </r>
  <r>
    <n v="1443"/>
    <n v="34"/>
    <x v="0"/>
    <x v="3"/>
    <s v="Recruiter"/>
    <n v="61732"/>
    <n v="20"/>
    <n v="5"/>
    <x v="0"/>
    <s v="Senior"/>
  </r>
  <r>
    <n v="1444"/>
    <n v="52"/>
    <x v="1"/>
    <x v="5"/>
    <s v="Marketing Executive"/>
    <n v="46566"/>
    <n v="19"/>
    <n v="1"/>
    <x v="1"/>
    <s v="Senior"/>
  </r>
  <r>
    <n v="1445"/>
    <n v="33"/>
    <x v="1"/>
    <x v="4"/>
    <s v="Operations Executive"/>
    <n v="94458"/>
    <n v="10"/>
    <n v="4"/>
    <x v="1"/>
    <s v="Senior"/>
  </r>
  <r>
    <n v="1446"/>
    <n v="25"/>
    <x v="1"/>
    <x v="4"/>
    <s v="Operations Executive"/>
    <n v="99602"/>
    <n v="15"/>
    <n v="3"/>
    <x v="0"/>
    <s v="Senior"/>
  </r>
  <r>
    <n v="1447"/>
    <n v="30"/>
    <x v="0"/>
    <x v="2"/>
    <s v="Sales Manager"/>
    <n v="113908"/>
    <n v="15"/>
    <n v="4"/>
    <x v="0"/>
    <s v="Senior"/>
  </r>
  <r>
    <n v="1448"/>
    <n v="32"/>
    <x v="0"/>
    <x v="1"/>
    <s v="Financial Analyst"/>
    <n v="43881"/>
    <n v="3"/>
    <n v="2"/>
    <x v="0"/>
    <s v="Mid-Level"/>
  </r>
  <r>
    <n v="1449"/>
    <n v="35"/>
    <x v="1"/>
    <x v="5"/>
    <s v="SEO Specialist"/>
    <n v="67960"/>
    <n v="7"/>
    <n v="2"/>
    <x v="0"/>
    <s v="Senior"/>
  </r>
  <r>
    <n v="1450"/>
    <n v="46"/>
    <x v="0"/>
    <x v="3"/>
    <s v="Recruiter"/>
    <n v="28569"/>
    <n v="12"/>
    <n v="1"/>
    <x v="0"/>
    <s v="Senior"/>
  </r>
  <r>
    <n v="1451"/>
    <n v="53"/>
    <x v="0"/>
    <x v="5"/>
    <s v="SEO Specialist"/>
    <n v="108021"/>
    <n v="13"/>
    <n v="5"/>
    <x v="0"/>
    <s v="Senior"/>
  </r>
  <r>
    <n v="1452"/>
    <n v="56"/>
    <x v="1"/>
    <x v="1"/>
    <s v="Accountant"/>
    <n v="112040"/>
    <n v="4"/>
    <n v="2"/>
    <x v="1"/>
    <s v="Mid-Level"/>
  </r>
  <r>
    <n v="1453"/>
    <n v="39"/>
    <x v="0"/>
    <x v="1"/>
    <s v="Financial Analyst"/>
    <n v="94524"/>
    <n v="10"/>
    <n v="1"/>
    <x v="0"/>
    <s v="Senior"/>
  </r>
  <r>
    <n v="1454"/>
    <n v="46"/>
    <x v="0"/>
    <x v="4"/>
    <s v="Operations Executive"/>
    <n v="61640"/>
    <n v="12"/>
    <n v="2"/>
    <x v="1"/>
    <s v="Senior"/>
  </r>
  <r>
    <n v="1455"/>
    <n v="25"/>
    <x v="0"/>
    <x v="5"/>
    <s v="SEO Specialist"/>
    <n v="76071"/>
    <n v="12"/>
    <n v="3"/>
    <x v="0"/>
    <s v="Senior"/>
  </r>
  <r>
    <n v="1456"/>
    <n v="26"/>
    <x v="1"/>
    <x v="0"/>
    <s v="Engineer"/>
    <n v="103623"/>
    <n v="10"/>
    <n v="3"/>
    <x v="0"/>
    <s v="Senior"/>
  </r>
  <r>
    <n v="1457"/>
    <n v="37"/>
    <x v="0"/>
    <x v="1"/>
    <s v="Accountant"/>
    <n v="21287"/>
    <n v="3"/>
    <n v="1"/>
    <x v="0"/>
    <s v="Mid-Level"/>
  </r>
  <r>
    <n v="1458"/>
    <n v="30"/>
    <x v="1"/>
    <x v="3"/>
    <s v="Recruiter"/>
    <n v="80407"/>
    <n v="6"/>
    <n v="2"/>
    <x v="1"/>
    <s v="Mid-Level"/>
  </r>
  <r>
    <n v="1459"/>
    <n v="33"/>
    <x v="1"/>
    <x v="3"/>
    <s v="Recruiter"/>
    <n v="90833"/>
    <n v="5"/>
    <n v="5"/>
    <x v="0"/>
    <s v="Mid-Level"/>
  </r>
  <r>
    <n v="1460"/>
    <n v="25"/>
    <x v="0"/>
    <x v="5"/>
    <s v="Marketing Executive"/>
    <n v="112749"/>
    <n v="4"/>
    <n v="3"/>
    <x v="0"/>
    <s v="Mid-Level"/>
  </r>
  <r>
    <n v="1461"/>
    <n v="57"/>
    <x v="0"/>
    <x v="1"/>
    <s v="Accountant"/>
    <n v="81481"/>
    <n v="4"/>
    <n v="4"/>
    <x v="0"/>
    <s v="Mid-Level"/>
  </r>
  <r>
    <n v="1462"/>
    <n v="40"/>
    <x v="1"/>
    <x v="1"/>
    <s v="Financial Analyst"/>
    <n v="103190"/>
    <n v="19"/>
    <n v="2"/>
    <x v="0"/>
    <s v="Senior"/>
  </r>
  <r>
    <n v="1463"/>
    <n v="54"/>
    <x v="0"/>
    <x v="2"/>
    <s v="Sales Manager"/>
    <n v="59813"/>
    <n v="9"/>
    <n v="1"/>
    <x v="0"/>
    <s v="Senior"/>
  </r>
  <r>
    <n v="1464"/>
    <n v="58"/>
    <x v="1"/>
    <x v="3"/>
    <s v="HR Executive"/>
    <n v="118648"/>
    <n v="15"/>
    <n v="4"/>
    <x v="0"/>
    <s v="Senior"/>
  </r>
  <r>
    <n v="1465"/>
    <n v="40"/>
    <x v="0"/>
    <x v="2"/>
    <s v="Sales Executive"/>
    <n v="53507"/>
    <n v="9"/>
    <n v="2"/>
    <x v="0"/>
    <s v="Senior"/>
  </r>
  <r>
    <n v="1466"/>
    <n v="27"/>
    <x v="0"/>
    <x v="5"/>
    <s v="SEO Specialist"/>
    <n v="87572"/>
    <n v="8"/>
    <n v="2"/>
    <x v="0"/>
    <s v="Senior"/>
  </r>
  <r>
    <n v="1467"/>
    <n v="54"/>
    <x v="1"/>
    <x v="1"/>
    <s v="Financial Analyst"/>
    <n v="100473"/>
    <n v="1"/>
    <n v="4"/>
    <x v="0"/>
    <s v="Junior"/>
  </r>
  <r>
    <n v="1468"/>
    <n v="28"/>
    <x v="1"/>
    <x v="1"/>
    <s v="Financial Analyst"/>
    <n v="53613"/>
    <n v="14"/>
    <n v="4"/>
    <x v="0"/>
    <s v="Senior"/>
  </r>
  <r>
    <n v="1469"/>
    <n v="25"/>
    <x v="1"/>
    <x v="1"/>
    <s v="Accountant"/>
    <n v="60455"/>
    <n v="20"/>
    <n v="5"/>
    <x v="0"/>
    <s v="Senior"/>
  </r>
  <r>
    <n v="1470"/>
    <n v="22"/>
    <x v="0"/>
    <x v="0"/>
    <s v="Developer"/>
    <n v="47396"/>
    <n v="3"/>
    <n v="3"/>
    <x v="0"/>
    <s v="Mid-Level"/>
  </r>
  <r>
    <n v="1471"/>
    <n v="33"/>
    <x v="0"/>
    <x v="4"/>
    <s v="Operations Executive"/>
    <n v="48492"/>
    <n v="15"/>
    <n v="2"/>
    <x v="1"/>
    <s v="Senior"/>
  </r>
  <r>
    <n v="1472"/>
    <n v="27"/>
    <x v="0"/>
    <x v="1"/>
    <s v="Financial Analyst"/>
    <n v="32676"/>
    <n v="17"/>
    <n v="1"/>
    <x v="0"/>
    <s v="Senior"/>
  </r>
  <r>
    <n v="1473"/>
    <n v="32"/>
    <x v="1"/>
    <x v="0"/>
    <s v="Analyst"/>
    <n v="45579"/>
    <n v="13"/>
    <n v="1"/>
    <x v="0"/>
    <s v="Senior"/>
  </r>
  <r>
    <n v="1474"/>
    <n v="25"/>
    <x v="1"/>
    <x v="0"/>
    <s v="Engineer"/>
    <n v="60066"/>
    <n v="0"/>
    <n v="3"/>
    <x v="0"/>
    <s v="Junior"/>
  </r>
  <r>
    <n v="1475"/>
    <n v="46"/>
    <x v="0"/>
    <x v="5"/>
    <s v="SEO Specialist"/>
    <n v="96841"/>
    <n v="8"/>
    <n v="4"/>
    <x v="0"/>
    <s v="Senior"/>
  </r>
  <r>
    <n v="1476"/>
    <n v="23"/>
    <x v="0"/>
    <x v="4"/>
    <s v="Operations Executive"/>
    <n v="107751"/>
    <n v="2"/>
    <n v="5"/>
    <x v="0"/>
    <s v="Junior"/>
  </r>
  <r>
    <n v="1477"/>
    <n v="45"/>
    <x v="1"/>
    <x v="0"/>
    <s v="Analyst"/>
    <n v="71868"/>
    <n v="12"/>
    <n v="1"/>
    <x v="0"/>
    <s v="Senior"/>
  </r>
  <r>
    <n v="1478"/>
    <n v="44"/>
    <x v="0"/>
    <x v="4"/>
    <s v="Supervisor"/>
    <n v="28983"/>
    <n v="4"/>
    <n v="2"/>
    <x v="0"/>
    <s v="Mid-Level"/>
  </r>
  <r>
    <n v="1479"/>
    <n v="31"/>
    <x v="0"/>
    <x v="2"/>
    <s v="Sales Executive"/>
    <n v="39395"/>
    <n v="15"/>
    <n v="4"/>
    <x v="0"/>
    <s v="Senior"/>
  </r>
  <r>
    <n v="1480"/>
    <n v="26"/>
    <x v="0"/>
    <x v="5"/>
    <s v="SEO Specialist"/>
    <n v="100526"/>
    <n v="6"/>
    <n v="3"/>
    <x v="1"/>
    <s v="Mid-Level"/>
  </r>
  <r>
    <n v="1481"/>
    <n v="49"/>
    <x v="1"/>
    <x v="0"/>
    <s v="Engineer"/>
    <n v="109654"/>
    <n v="12"/>
    <n v="3"/>
    <x v="0"/>
    <s v="Senior"/>
  </r>
  <r>
    <n v="1482"/>
    <n v="35"/>
    <x v="1"/>
    <x v="3"/>
    <s v="HR Executive"/>
    <n v="51281"/>
    <n v="18"/>
    <n v="3"/>
    <x v="0"/>
    <s v="Senior"/>
  </r>
  <r>
    <n v="1483"/>
    <n v="40"/>
    <x v="1"/>
    <x v="5"/>
    <s v="Marketing Executive"/>
    <n v="33253"/>
    <n v="7"/>
    <n v="2"/>
    <x v="0"/>
    <s v="Senior"/>
  </r>
  <r>
    <n v="1484"/>
    <n v="57"/>
    <x v="1"/>
    <x v="3"/>
    <s v="HR Executive"/>
    <n v="57351"/>
    <n v="5"/>
    <n v="1"/>
    <x v="0"/>
    <s v="Mid-Level"/>
  </r>
  <r>
    <n v="1485"/>
    <n v="35"/>
    <x v="1"/>
    <x v="4"/>
    <s v="Operations Executive"/>
    <n v="76177"/>
    <n v="3"/>
    <n v="2"/>
    <x v="0"/>
    <s v="Mid-Level"/>
  </r>
  <r>
    <n v="1486"/>
    <n v="58"/>
    <x v="0"/>
    <x v="1"/>
    <s v="Financial Analyst"/>
    <n v="52907"/>
    <n v="8"/>
    <n v="3"/>
    <x v="0"/>
    <s v="Senior"/>
  </r>
  <r>
    <n v="1487"/>
    <n v="52"/>
    <x v="1"/>
    <x v="1"/>
    <s v="Accountant"/>
    <n v="78583"/>
    <n v="20"/>
    <n v="1"/>
    <x v="0"/>
    <s v="Senior"/>
  </r>
  <r>
    <n v="1488"/>
    <n v="25"/>
    <x v="0"/>
    <x v="4"/>
    <s v="Supervisor"/>
    <n v="46421"/>
    <n v="20"/>
    <n v="5"/>
    <x v="0"/>
    <s v="Senior"/>
  </r>
  <r>
    <n v="1489"/>
    <n v="39"/>
    <x v="1"/>
    <x v="3"/>
    <s v="HR Executive"/>
    <n v="23857"/>
    <n v="12"/>
    <n v="3"/>
    <x v="0"/>
    <s v="Senior"/>
  </r>
  <r>
    <n v="1490"/>
    <n v="22"/>
    <x v="1"/>
    <x v="4"/>
    <s v="Supervisor"/>
    <n v="90293"/>
    <n v="18"/>
    <n v="5"/>
    <x v="0"/>
    <s v="Senior"/>
  </r>
  <r>
    <n v="1491"/>
    <n v="31"/>
    <x v="0"/>
    <x v="3"/>
    <s v="HR Executive"/>
    <n v="26602"/>
    <n v="0"/>
    <n v="2"/>
    <x v="0"/>
    <s v="Junior"/>
  </r>
  <r>
    <n v="1492"/>
    <n v="40"/>
    <x v="1"/>
    <x v="5"/>
    <s v="SEO Specialist"/>
    <n v="79276"/>
    <n v="8"/>
    <n v="5"/>
    <x v="0"/>
    <s v="Senior"/>
  </r>
  <r>
    <n v="1493"/>
    <n v="35"/>
    <x v="1"/>
    <x v="1"/>
    <s v="Financial Analyst"/>
    <n v="45273"/>
    <n v="13"/>
    <n v="5"/>
    <x v="0"/>
    <s v="Senior"/>
  </r>
  <r>
    <n v="1494"/>
    <n v="57"/>
    <x v="1"/>
    <x v="4"/>
    <s v="Supervisor"/>
    <n v="44505"/>
    <n v="17"/>
    <n v="2"/>
    <x v="0"/>
    <s v="Senior"/>
  </r>
  <r>
    <n v="1495"/>
    <n v="55"/>
    <x v="0"/>
    <x v="0"/>
    <s v="Analyst"/>
    <n v="85977"/>
    <n v="16"/>
    <n v="5"/>
    <x v="0"/>
    <s v="Senior"/>
  </r>
  <r>
    <n v="1496"/>
    <n v="25"/>
    <x v="0"/>
    <x v="4"/>
    <s v="Operations Executive"/>
    <n v="74750"/>
    <n v="17"/>
    <n v="3"/>
    <x v="1"/>
    <s v="Senior"/>
  </r>
  <r>
    <n v="1497"/>
    <n v="25"/>
    <x v="0"/>
    <x v="4"/>
    <s v="Operations Executive"/>
    <n v="96545"/>
    <n v="3"/>
    <n v="5"/>
    <x v="0"/>
    <s v="Mid-Level"/>
  </r>
  <r>
    <n v="1498"/>
    <n v="27"/>
    <x v="1"/>
    <x v="3"/>
    <s v="HR Executive"/>
    <n v="54275"/>
    <n v="20"/>
    <n v="4"/>
    <x v="0"/>
    <s v="Senior"/>
  </r>
  <r>
    <n v="1499"/>
    <n v="46"/>
    <x v="0"/>
    <x v="1"/>
    <s v="Financial Analyst"/>
    <n v="26113"/>
    <n v="10"/>
    <n v="3"/>
    <x v="0"/>
    <s v="Senior"/>
  </r>
  <r>
    <n v="1500"/>
    <n v="51"/>
    <x v="0"/>
    <x v="5"/>
    <s v="SEO Specialist"/>
    <n v="95835"/>
    <n v="14"/>
    <n v="4"/>
    <x v="0"/>
    <s v="Senior"/>
  </r>
  <r>
    <n v="1501"/>
    <n v="40"/>
    <x v="0"/>
    <x v="5"/>
    <s v="SEO Specialist"/>
    <n v="105170"/>
    <n v="16"/>
    <n v="3"/>
    <x v="0"/>
    <s v="Senior"/>
  </r>
  <r>
    <n v="1502"/>
    <n v="37"/>
    <x v="0"/>
    <x v="5"/>
    <s v="Marketing Executive"/>
    <n v="25114"/>
    <n v="17"/>
    <n v="2"/>
    <x v="0"/>
    <s v="Senior"/>
  </r>
  <r>
    <n v="1503"/>
    <n v="51"/>
    <x v="1"/>
    <x v="4"/>
    <s v="Supervisor"/>
    <n v="22132"/>
    <n v="19"/>
    <n v="3"/>
    <x v="0"/>
    <s v="Senior"/>
  </r>
  <r>
    <n v="1504"/>
    <n v="29"/>
    <x v="1"/>
    <x v="3"/>
    <s v="HR Executive"/>
    <n v="21769"/>
    <n v="2"/>
    <n v="2"/>
    <x v="1"/>
    <s v="Junior"/>
  </r>
  <r>
    <n v="1505"/>
    <n v="31"/>
    <x v="1"/>
    <x v="1"/>
    <s v="Financial Analyst"/>
    <n v="69912"/>
    <n v="19"/>
    <n v="2"/>
    <x v="0"/>
    <s v="Senior"/>
  </r>
  <r>
    <n v="1506"/>
    <n v="33"/>
    <x v="0"/>
    <x v="2"/>
    <s v="Sales Manager"/>
    <n v="98352"/>
    <n v="18"/>
    <n v="3"/>
    <x v="0"/>
    <s v="Senior"/>
  </r>
  <r>
    <n v="1507"/>
    <n v="54"/>
    <x v="1"/>
    <x v="2"/>
    <s v="Sales Manager"/>
    <n v="79650"/>
    <n v="14"/>
    <n v="1"/>
    <x v="0"/>
    <s v="Senior"/>
  </r>
  <r>
    <n v="1508"/>
    <n v="57"/>
    <x v="1"/>
    <x v="1"/>
    <s v="Accountant"/>
    <n v="72149"/>
    <n v="12"/>
    <n v="4"/>
    <x v="0"/>
    <s v="Senior"/>
  </r>
  <r>
    <n v="1509"/>
    <n v="25"/>
    <x v="0"/>
    <x v="1"/>
    <s v="Financial Analyst"/>
    <n v="69161"/>
    <n v="14"/>
    <n v="4"/>
    <x v="1"/>
    <s v="Senior"/>
  </r>
  <r>
    <n v="1510"/>
    <n v="57"/>
    <x v="0"/>
    <x v="5"/>
    <s v="Marketing Executive"/>
    <n v="93622"/>
    <n v="14"/>
    <n v="4"/>
    <x v="0"/>
    <s v="Senior"/>
  </r>
  <r>
    <n v="1511"/>
    <n v="41"/>
    <x v="0"/>
    <x v="1"/>
    <s v="Accountant"/>
    <n v="109733"/>
    <n v="9"/>
    <n v="2"/>
    <x v="0"/>
    <s v="Senior"/>
  </r>
  <r>
    <n v="1512"/>
    <n v="37"/>
    <x v="1"/>
    <x v="5"/>
    <s v="SEO Specialist"/>
    <n v="118272"/>
    <n v="20"/>
    <n v="2"/>
    <x v="1"/>
    <s v="Senior"/>
  </r>
  <r>
    <n v="1513"/>
    <n v="56"/>
    <x v="0"/>
    <x v="5"/>
    <s v="SEO Specialist"/>
    <n v="94158"/>
    <n v="19"/>
    <n v="1"/>
    <x v="0"/>
    <s v="Senior"/>
  </r>
  <r>
    <n v="1514"/>
    <n v="53"/>
    <x v="0"/>
    <x v="3"/>
    <s v="Recruiter"/>
    <n v="44872"/>
    <n v="18"/>
    <n v="5"/>
    <x v="0"/>
    <s v="Senior"/>
  </r>
  <r>
    <n v="1515"/>
    <n v="27"/>
    <x v="1"/>
    <x v="5"/>
    <s v="SEO Specialist"/>
    <n v="75634"/>
    <n v="2"/>
    <n v="2"/>
    <x v="0"/>
    <s v="Junior"/>
  </r>
  <r>
    <n v="1516"/>
    <n v="34"/>
    <x v="0"/>
    <x v="2"/>
    <s v="Sales Executive"/>
    <n v="82422"/>
    <n v="2"/>
    <n v="1"/>
    <x v="0"/>
    <s v="Junior"/>
  </r>
  <r>
    <n v="1517"/>
    <n v="31"/>
    <x v="0"/>
    <x v="1"/>
    <s v="Accountant"/>
    <n v="83778"/>
    <n v="13"/>
    <n v="1"/>
    <x v="1"/>
    <s v="Senior"/>
  </r>
  <r>
    <n v="1518"/>
    <n v="31"/>
    <x v="1"/>
    <x v="5"/>
    <s v="SEO Specialist"/>
    <n v="72988"/>
    <n v="2"/>
    <n v="1"/>
    <x v="1"/>
    <s v="Junior"/>
  </r>
  <r>
    <n v="1519"/>
    <n v="37"/>
    <x v="1"/>
    <x v="4"/>
    <s v="Operations Executive"/>
    <n v="84572"/>
    <n v="19"/>
    <n v="5"/>
    <x v="1"/>
    <s v="Senior"/>
  </r>
  <r>
    <n v="1520"/>
    <n v="28"/>
    <x v="1"/>
    <x v="4"/>
    <s v="Operations Executive"/>
    <n v="112441"/>
    <n v="9"/>
    <n v="5"/>
    <x v="0"/>
    <s v="Senior"/>
  </r>
  <r>
    <n v="1521"/>
    <n v="50"/>
    <x v="0"/>
    <x v="1"/>
    <s v="Accountant"/>
    <n v="97592"/>
    <n v="10"/>
    <n v="4"/>
    <x v="0"/>
    <s v="Senior"/>
  </r>
  <r>
    <n v="1522"/>
    <n v="49"/>
    <x v="1"/>
    <x v="0"/>
    <s v="Developer"/>
    <n v="103543"/>
    <n v="4"/>
    <n v="4"/>
    <x v="0"/>
    <s v="Mid-Level"/>
  </r>
  <r>
    <n v="1523"/>
    <n v="36"/>
    <x v="0"/>
    <x v="5"/>
    <s v="SEO Specialist"/>
    <n v="67827"/>
    <n v="4"/>
    <n v="4"/>
    <x v="1"/>
    <s v="Mid-Level"/>
  </r>
  <r>
    <n v="1524"/>
    <n v="27"/>
    <x v="0"/>
    <x v="5"/>
    <s v="Marketing Executive"/>
    <n v="23747"/>
    <n v="10"/>
    <n v="4"/>
    <x v="0"/>
    <s v="Senior"/>
  </r>
  <r>
    <n v="1525"/>
    <n v="26"/>
    <x v="0"/>
    <x v="1"/>
    <s v="Accountant"/>
    <n v="86880"/>
    <n v="14"/>
    <n v="4"/>
    <x v="0"/>
    <s v="Senior"/>
  </r>
  <r>
    <n v="1526"/>
    <n v="31"/>
    <x v="0"/>
    <x v="2"/>
    <s v="Sales Executive"/>
    <n v="51945"/>
    <n v="12"/>
    <n v="2"/>
    <x v="0"/>
    <s v="Senior"/>
  </r>
  <r>
    <n v="1527"/>
    <n v="35"/>
    <x v="1"/>
    <x v="1"/>
    <s v="Financial Analyst"/>
    <n v="73829"/>
    <n v="10"/>
    <n v="3"/>
    <x v="0"/>
    <s v="Senior"/>
  </r>
  <r>
    <n v="1528"/>
    <n v="55"/>
    <x v="0"/>
    <x v="4"/>
    <s v="Supervisor"/>
    <n v="103392"/>
    <n v="16"/>
    <n v="3"/>
    <x v="0"/>
    <s v="Senior"/>
  </r>
  <r>
    <n v="1529"/>
    <n v="44"/>
    <x v="1"/>
    <x v="5"/>
    <s v="SEO Specialist"/>
    <n v="75657"/>
    <n v="1"/>
    <n v="4"/>
    <x v="0"/>
    <s v="Junior"/>
  </r>
  <r>
    <n v="1530"/>
    <n v="55"/>
    <x v="1"/>
    <x v="1"/>
    <s v="Financial Analyst"/>
    <n v="27009"/>
    <n v="7"/>
    <n v="5"/>
    <x v="0"/>
    <s v="Senior"/>
  </r>
  <r>
    <n v="1531"/>
    <n v="34"/>
    <x v="0"/>
    <x v="2"/>
    <s v="Sales Manager"/>
    <n v="47870"/>
    <n v="10"/>
    <n v="1"/>
    <x v="0"/>
    <s v="Senior"/>
  </r>
  <r>
    <n v="1532"/>
    <n v="50"/>
    <x v="1"/>
    <x v="2"/>
    <s v="Sales Executive"/>
    <n v="94787"/>
    <n v="6"/>
    <n v="5"/>
    <x v="0"/>
    <s v="Mid-Level"/>
  </r>
  <r>
    <n v="1533"/>
    <n v="24"/>
    <x v="0"/>
    <x v="1"/>
    <s v="Accountant"/>
    <n v="43818"/>
    <n v="15"/>
    <n v="5"/>
    <x v="0"/>
    <s v="Senior"/>
  </r>
  <r>
    <n v="1534"/>
    <n v="51"/>
    <x v="0"/>
    <x v="4"/>
    <s v="Operations Executive"/>
    <n v="86707"/>
    <n v="10"/>
    <n v="4"/>
    <x v="0"/>
    <s v="Senior"/>
  </r>
  <r>
    <n v="1535"/>
    <n v="43"/>
    <x v="0"/>
    <x v="4"/>
    <s v="Operations Executive"/>
    <n v="32717"/>
    <n v="18"/>
    <n v="2"/>
    <x v="0"/>
    <s v="Senior"/>
  </r>
  <r>
    <n v="1536"/>
    <n v="36"/>
    <x v="0"/>
    <x v="2"/>
    <s v="Sales Executive"/>
    <n v="63706"/>
    <n v="15"/>
    <n v="1"/>
    <x v="0"/>
    <s v="Senior"/>
  </r>
  <r>
    <n v="1537"/>
    <n v="34"/>
    <x v="0"/>
    <x v="2"/>
    <s v="Sales Manager"/>
    <n v="26948"/>
    <n v="14"/>
    <n v="4"/>
    <x v="0"/>
    <s v="Senior"/>
  </r>
  <r>
    <n v="1538"/>
    <n v="39"/>
    <x v="1"/>
    <x v="5"/>
    <s v="Marketing Executive"/>
    <n v="119727"/>
    <n v="5"/>
    <n v="2"/>
    <x v="0"/>
    <s v="Mid-Level"/>
  </r>
  <r>
    <n v="1539"/>
    <n v="57"/>
    <x v="1"/>
    <x v="4"/>
    <s v="Supervisor"/>
    <n v="53308"/>
    <n v="16"/>
    <n v="5"/>
    <x v="0"/>
    <s v="Senior"/>
  </r>
  <r>
    <n v="1540"/>
    <n v="37"/>
    <x v="0"/>
    <x v="5"/>
    <s v="Marketing Executive"/>
    <n v="55601"/>
    <n v="6"/>
    <n v="2"/>
    <x v="1"/>
    <s v="Mid-Level"/>
  </r>
  <r>
    <n v="1541"/>
    <n v="51"/>
    <x v="0"/>
    <x v="5"/>
    <s v="SEO Specialist"/>
    <n v="117375"/>
    <n v="7"/>
    <n v="3"/>
    <x v="1"/>
    <s v="Senior"/>
  </r>
  <r>
    <n v="1542"/>
    <n v="34"/>
    <x v="1"/>
    <x v="1"/>
    <s v="Accountant"/>
    <n v="33301"/>
    <n v="20"/>
    <n v="5"/>
    <x v="0"/>
    <s v="Senior"/>
  </r>
  <r>
    <n v="1543"/>
    <n v="38"/>
    <x v="0"/>
    <x v="3"/>
    <s v="HR Executive"/>
    <n v="93450"/>
    <n v="6"/>
    <n v="3"/>
    <x v="0"/>
    <s v="Mid-Level"/>
  </r>
  <r>
    <n v="1544"/>
    <n v="39"/>
    <x v="1"/>
    <x v="0"/>
    <s v="Engineer"/>
    <n v="56434"/>
    <n v="11"/>
    <n v="1"/>
    <x v="0"/>
    <s v="Senior"/>
  </r>
  <r>
    <n v="1545"/>
    <n v="23"/>
    <x v="1"/>
    <x v="1"/>
    <s v="Financial Analyst"/>
    <n v="114412"/>
    <n v="18"/>
    <n v="3"/>
    <x v="0"/>
    <s v="Senior"/>
  </r>
  <r>
    <n v="1546"/>
    <n v="47"/>
    <x v="0"/>
    <x v="1"/>
    <s v="Accountant"/>
    <n v="73336"/>
    <n v="12"/>
    <n v="5"/>
    <x v="1"/>
    <s v="Senior"/>
  </r>
  <r>
    <n v="1547"/>
    <n v="51"/>
    <x v="0"/>
    <x v="3"/>
    <s v="Recruiter"/>
    <n v="25649"/>
    <n v="2"/>
    <n v="2"/>
    <x v="0"/>
    <s v="Junior"/>
  </r>
  <r>
    <n v="1548"/>
    <n v="43"/>
    <x v="0"/>
    <x v="1"/>
    <s v="Accountant"/>
    <n v="108838"/>
    <n v="5"/>
    <n v="3"/>
    <x v="0"/>
    <s v="Mid-Level"/>
  </r>
  <r>
    <n v="1549"/>
    <n v="30"/>
    <x v="0"/>
    <x v="0"/>
    <s v="Analyst"/>
    <n v="23767"/>
    <n v="16"/>
    <n v="1"/>
    <x v="0"/>
    <s v="Senior"/>
  </r>
  <r>
    <n v="1550"/>
    <n v="26"/>
    <x v="1"/>
    <x v="1"/>
    <s v="Financial Analyst"/>
    <n v="47959"/>
    <n v="10"/>
    <n v="5"/>
    <x v="0"/>
    <s v="Senior"/>
  </r>
  <r>
    <n v="1551"/>
    <n v="49"/>
    <x v="0"/>
    <x v="1"/>
    <s v="Accountant"/>
    <n v="88331"/>
    <n v="11"/>
    <n v="1"/>
    <x v="0"/>
    <s v="Senior"/>
  </r>
  <r>
    <n v="1552"/>
    <n v="49"/>
    <x v="0"/>
    <x v="1"/>
    <s v="Accountant"/>
    <n v="20907"/>
    <n v="1"/>
    <n v="1"/>
    <x v="0"/>
    <s v="Junior"/>
  </r>
  <r>
    <n v="1553"/>
    <n v="50"/>
    <x v="0"/>
    <x v="5"/>
    <s v="Marketing Executive"/>
    <n v="72925"/>
    <n v="9"/>
    <n v="2"/>
    <x v="0"/>
    <s v="Senior"/>
  </r>
  <r>
    <n v="1554"/>
    <n v="39"/>
    <x v="0"/>
    <x v="2"/>
    <s v="Sales Executive"/>
    <n v="119374"/>
    <n v="15"/>
    <n v="4"/>
    <x v="0"/>
    <s v="Senior"/>
  </r>
  <r>
    <n v="1555"/>
    <n v="37"/>
    <x v="0"/>
    <x v="1"/>
    <s v="Accountant"/>
    <n v="86047"/>
    <n v="9"/>
    <n v="5"/>
    <x v="0"/>
    <s v="Senior"/>
  </r>
  <r>
    <n v="1556"/>
    <n v="29"/>
    <x v="0"/>
    <x v="1"/>
    <s v="Financial Analyst"/>
    <n v="69040"/>
    <n v="9"/>
    <n v="5"/>
    <x v="1"/>
    <s v="Senior"/>
  </r>
  <r>
    <n v="1557"/>
    <n v="51"/>
    <x v="1"/>
    <x v="4"/>
    <s v="Supervisor"/>
    <n v="75878"/>
    <n v="15"/>
    <n v="3"/>
    <x v="0"/>
    <s v="Senior"/>
  </r>
  <r>
    <n v="1558"/>
    <n v="23"/>
    <x v="1"/>
    <x v="2"/>
    <s v="Sales Manager"/>
    <n v="115522"/>
    <n v="16"/>
    <n v="1"/>
    <x v="0"/>
    <s v="Senior"/>
  </r>
  <r>
    <n v="1559"/>
    <n v="32"/>
    <x v="0"/>
    <x v="2"/>
    <s v="Sales Manager"/>
    <n v="54925"/>
    <n v="8"/>
    <n v="4"/>
    <x v="0"/>
    <s v="Senior"/>
  </r>
  <r>
    <n v="1560"/>
    <n v="24"/>
    <x v="0"/>
    <x v="5"/>
    <s v="SEO Specialist"/>
    <n v="30880"/>
    <n v="10"/>
    <n v="4"/>
    <x v="0"/>
    <s v="Senior"/>
  </r>
  <r>
    <n v="1561"/>
    <n v="36"/>
    <x v="0"/>
    <x v="4"/>
    <s v="Operations Executive"/>
    <n v="85862"/>
    <n v="20"/>
    <n v="5"/>
    <x v="1"/>
    <s v="Senior"/>
  </r>
  <r>
    <n v="1562"/>
    <n v="54"/>
    <x v="0"/>
    <x v="5"/>
    <s v="Marketing Executive"/>
    <n v="21955"/>
    <n v="19"/>
    <n v="5"/>
    <x v="0"/>
    <s v="Senior"/>
  </r>
  <r>
    <n v="1563"/>
    <n v="34"/>
    <x v="0"/>
    <x v="4"/>
    <s v="Supervisor"/>
    <n v="55449"/>
    <n v="15"/>
    <n v="2"/>
    <x v="0"/>
    <s v="Senior"/>
  </r>
  <r>
    <n v="1564"/>
    <n v="35"/>
    <x v="0"/>
    <x v="1"/>
    <s v="Financial Analyst"/>
    <n v="95533"/>
    <n v="17"/>
    <n v="3"/>
    <x v="0"/>
    <s v="Senior"/>
  </r>
  <r>
    <n v="1565"/>
    <n v="49"/>
    <x v="0"/>
    <x v="5"/>
    <s v="SEO Specialist"/>
    <n v="111319"/>
    <n v="14"/>
    <n v="3"/>
    <x v="0"/>
    <s v="Senior"/>
  </r>
  <r>
    <n v="1566"/>
    <n v="27"/>
    <x v="0"/>
    <x v="0"/>
    <s v="Engineer"/>
    <n v="55080"/>
    <n v="11"/>
    <n v="4"/>
    <x v="0"/>
    <s v="Senior"/>
  </r>
  <r>
    <n v="1567"/>
    <n v="41"/>
    <x v="0"/>
    <x v="3"/>
    <s v="Recruiter"/>
    <n v="98106"/>
    <n v="18"/>
    <n v="5"/>
    <x v="0"/>
    <s v="Senior"/>
  </r>
  <r>
    <n v="1568"/>
    <n v="23"/>
    <x v="0"/>
    <x v="2"/>
    <s v="Sales Manager"/>
    <n v="76047"/>
    <n v="17"/>
    <n v="5"/>
    <x v="0"/>
    <s v="Senior"/>
  </r>
  <r>
    <n v="1569"/>
    <n v="30"/>
    <x v="0"/>
    <x v="2"/>
    <s v="Sales Manager"/>
    <n v="46573"/>
    <n v="0"/>
    <n v="2"/>
    <x v="0"/>
    <s v="Junior"/>
  </r>
  <r>
    <n v="1570"/>
    <n v="52"/>
    <x v="1"/>
    <x v="0"/>
    <s v="Analyst"/>
    <n v="118058"/>
    <n v="7"/>
    <n v="4"/>
    <x v="0"/>
    <s v="Senior"/>
  </r>
  <r>
    <n v="1571"/>
    <n v="32"/>
    <x v="0"/>
    <x v="1"/>
    <s v="Financial Analyst"/>
    <n v="26105"/>
    <n v="14"/>
    <n v="2"/>
    <x v="0"/>
    <s v="Senior"/>
  </r>
  <r>
    <n v="1572"/>
    <n v="29"/>
    <x v="0"/>
    <x v="5"/>
    <s v="SEO Specialist"/>
    <n v="65687"/>
    <n v="7"/>
    <n v="5"/>
    <x v="0"/>
    <s v="Senior"/>
  </r>
  <r>
    <n v="1573"/>
    <n v="44"/>
    <x v="0"/>
    <x v="0"/>
    <s v="Analyst"/>
    <n v="74525"/>
    <n v="9"/>
    <n v="1"/>
    <x v="0"/>
    <s v="Senior"/>
  </r>
  <r>
    <n v="1574"/>
    <n v="22"/>
    <x v="1"/>
    <x v="4"/>
    <s v="Operations Executive"/>
    <n v="83448"/>
    <n v="5"/>
    <n v="2"/>
    <x v="0"/>
    <s v="Mid-Level"/>
  </r>
  <r>
    <n v="1575"/>
    <n v="25"/>
    <x v="0"/>
    <x v="2"/>
    <s v="Sales Manager"/>
    <n v="118020"/>
    <n v="15"/>
    <n v="2"/>
    <x v="0"/>
    <s v="Senior"/>
  </r>
  <r>
    <n v="1576"/>
    <n v="37"/>
    <x v="0"/>
    <x v="1"/>
    <s v="Accountant"/>
    <n v="94134"/>
    <n v="10"/>
    <n v="1"/>
    <x v="1"/>
    <s v="Senior"/>
  </r>
  <r>
    <n v="1577"/>
    <n v="31"/>
    <x v="1"/>
    <x v="1"/>
    <s v="Accountant"/>
    <n v="93232"/>
    <n v="7"/>
    <n v="4"/>
    <x v="0"/>
    <s v="Senior"/>
  </r>
  <r>
    <n v="1578"/>
    <n v="26"/>
    <x v="1"/>
    <x v="2"/>
    <s v="Sales Manager"/>
    <n v="112274"/>
    <n v="7"/>
    <n v="2"/>
    <x v="0"/>
    <s v="Senior"/>
  </r>
  <r>
    <n v="1579"/>
    <n v="31"/>
    <x v="0"/>
    <x v="3"/>
    <s v="HR Executive"/>
    <n v="118656"/>
    <n v="14"/>
    <n v="5"/>
    <x v="0"/>
    <s v="Senior"/>
  </r>
  <r>
    <n v="1580"/>
    <n v="44"/>
    <x v="1"/>
    <x v="3"/>
    <s v="HR Executive"/>
    <n v="73510"/>
    <n v="8"/>
    <n v="2"/>
    <x v="0"/>
    <s v="Senior"/>
  </r>
  <r>
    <n v="1581"/>
    <n v="49"/>
    <x v="1"/>
    <x v="1"/>
    <s v="Accountant"/>
    <n v="69319"/>
    <n v="11"/>
    <n v="1"/>
    <x v="0"/>
    <s v="Senior"/>
  </r>
  <r>
    <n v="1582"/>
    <n v="30"/>
    <x v="0"/>
    <x v="0"/>
    <s v="Developer"/>
    <n v="24978"/>
    <n v="19"/>
    <n v="1"/>
    <x v="0"/>
    <s v="Senior"/>
  </r>
  <r>
    <n v="1583"/>
    <n v="23"/>
    <x v="1"/>
    <x v="1"/>
    <s v="Financial Analyst"/>
    <n v="57974"/>
    <n v="2"/>
    <n v="1"/>
    <x v="0"/>
    <s v="Junior"/>
  </r>
  <r>
    <n v="1584"/>
    <n v="54"/>
    <x v="1"/>
    <x v="5"/>
    <s v="SEO Specialist"/>
    <n v="66933"/>
    <n v="16"/>
    <n v="4"/>
    <x v="0"/>
    <s v="Senior"/>
  </r>
  <r>
    <n v="1585"/>
    <n v="54"/>
    <x v="1"/>
    <x v="1"/>
    <s v="Accountant"/>
    <n v="24923"/>
    <n v="16"/>
    <n v="3"/>
    <x v="0"/>
    <s v="Senior"/>
  </r>
  <r>
    <n v="1586"/>
    <n v="29"/>
    <x v="1"/>
    <x v="4"/>
    <s v="Supervisor"/>
    <n v="40687"/>
    <n v="14"/>
    <n v="1"/>
    <x v="0"/>
    <s v="Senior"/>
  </r>
  <r>
    <n v="1587"/>
    <n v="40"/>
    <x v="1"/>
    <x v="4"/>
    <s v="Supervisor"/>
    <n v="37136"/>
    <n v="10"/>
    <n v="3"/>
    <x v="0"/>
    <s v="Senior"/>
  </r>
  <r>
    <n v="1588"/>
    <n v="34"/>
    <x v="0"/>
    <x v="3"/>
    <s v="Recruiter"/>
    <n v="70058"/>
    <n v="17"/>
    <n v="3"/>
    <x v="1"/>
    <s v="Senior"/>
  </r>
  <r>
    <n v="1589"/>
    <n v="23"/>
    <x v="1"/>
    <x v="0"/>
    <s v="Developer"/>
    <n v="92746"/>
    <n v="5"/>
    <n v="2"/>
    <x v="0"/>
    <s v="Mid-Level"/>
  </r>
  <r>
    <n v="1590"/>
    <n v="38"/>
    <x v="1"/>
    <x v="0"/>
    <s v="Developer"/>
    <n v="28697"/>
    <n v="10"/>
    <n v="4"/>
    <x v="0"/>
    <s v="Senior"/>
  </r>
  <r>
    <n v="1591"/>
    <n v="49"/>
    <x v="1"/>
    <x v="2"/>
    <s v="Sales Manager"/>
    <n v="105707"/>
    <n v="1"/>
    <n v="2"/>
    <x v="1"/>
    <s v="Junior"/>
  </r>
  <r>
    <n v="1592"/>
    <n v="57"/>
    <x v="0"/>
    <x v="3"/>
    <s v="Recruiter"/>
    <n v="82566"/>
    <n v="0"/>
    <n v="5"/>
    <x v="1"/>
    <s v="Junior"/>
  </r>
  <r>
    <n v="1593"/>
    <n v="39"/>
    <x v="1"/>
    <x v="3"/>
    <s v="HR Executive"/>
    <n v="54928"/>
    <n v="15"/>
    <n v="2"/>
    <x v="0"/>
    <s v="Senior"/>
  </r>
  <r>
    <n v="1594"/>
    <n v="42"/>
    <x v="0"/>
    <x v="3"/>
    <s v="HR Executive"/>
    <n v="42170"/>
    <n v="3"/>
    <n v="4"/>
    <x v="0"/>
    <s v="Mid-Level"/>
  </r>
  <r>
    <n v="1595"/>
    <n v="55"/>
    <x v="0"/>
    <x v="0"/>
    <s v="Analyst"/>
    <n v="51533"/>
    <n v="1"/>
    <n v="3"/>
    <x v="1"/>
    <s v="Junior"/>
  </r>
  <r>
    <n v="1596"/>
    <n v="44"/>
    <x v="1"/>
    <x v="2"/>
    <s v="Sales Manager"/>
    <n v="78767"/>
    <n v="12"/>
    <n v="5"/>
    <x v="0"/>
    <s v="Senior"/>
  </r>
  <r>
    <n v="1597"/>
    <n v="26"/>
    <x v="0"/>
    <x v="5"/>
    <s v="Marketing Executive"/>
    <n v="105294"/>
    <n v="9"/>
    <n v="2"/>
    <x v="0"/>
    <s v="Senior"/>
  </r>
  <r>
    <n v="1598"/>
    <n v="44"/>
    <x v="0"/>
    <x v="5"/>
    <s v="Marketing Executive"/>
    <n v="86147"/>
    <n v="0"/>
    <n v="4"/>
    <x v="0"/>
    <s v="Junior"/>
  </r>
  <r>
    <n v="1599"/>
    <n v="30"/>
    <x v="1"/>
    <x v="1"/>
    <s v="Financial Analyst"/>
    <n v="116104"/>
    <n v="11"/>
    <n v="4"/>
    <x v="0"/>
    <s v="Senior"/>
  </r>
  <r>
    <n v="1600"/>
    <n v="46"/>
    <x v="1"/>
    <x v="1"/>
    <s v="Financial Analyst"/>
    <n v="48859"/>
    <n v="14"/>
    <n v="3"/>
    <x v="0"/>
    <s v="Senior"/>
  </r>
  <r>
    <n v="1601"/>
    <n v="36"/>
    <x v="1"/>
    <x v="4"/>
    <s v="Operations Executive"/>
    <n v="111697"/>
    <n v="12"/>
    <n v="4"/>
    <x v="0"/>
    <s v="Senior"/>
  </r>
  <r>
    <n v="1602"/>
    <n v="26"/>
    <x v="1"/>
    <x v="0"/>
    <s v="Engineer"/>
    <n v="49480"/>
    <n v="8"/>
    <n v="5"/>
    <x v="0"/>
    <s v="Senior"/>
  </r>
  <r>
    <n v="1603"/>
    <n v="57"/>
    <x v="1"/>
    <x v="3"/>
    <s v="Recruiter"/>
    <n v="97018"/>
    <n v="14"/>
    <n v="3"/>
    <x v="0"/>
    <s v="Senior"/>
  </r>
  <r>
    <n v="1604"/>
    <n v="44"/>
    <x v="1"/>
    <x v="0"/>
    <s v="Analyst"/>
    <n v="113615"/>
    <n v="5"/>
    <n v="2"/>
    <x v="0"/>
    <s v="Mid-Level"/>
  </r>
  <r>
    <n v="1605"/>
    <n v="23"/>
    <x v="1"/>
    <x v="3"/>
    <s v="Recruiter"/>
    <n v="100844"/>
    <n v="0"/>
    <n v="1"/>
    <x v="0"/>
    <s v="Junior"/>
  </r>
  <r>
    <n v="1606"/>
    <n v="32"/>
    <x v="1"/>
    <x v="3"/>
    <s v="Recruiter"/>
    <n v="85832"/>
    <n v="13"/>
    <n v="5"/>
    <x v="0"/>
    <s v="Senior"/>
  </r>
  <r>
    <n v="1607"/>
    <n v="24"/>
    <x v="0"/>
    <x v="1"/>
    <s v="Financial Analyst"/>
    <n v="107889"/>
    <n v="15"/>
    <n v="3"/>
    <x v="0"/>
    <s v="Senior"/>
  </r>
  <r>
    <n v="1608"/>
    <n v="42"/>
    <x v="1"/>
    <x v="3"/>
    <s v="HR Executive"/>
    <n v="108993"/>
    <n v="9"/>
    <n v="3"/>
    <x v="0"/>
    <s v="Senior"/>
  </r>
  <r>
    <n v="1609"/>
    <n v="45"/>
    <x v="1"/>
    <x v="1"/>
    <s v="Accountant"/>
    <n v="21032"/>
    <n v="10"/>
    <n v="4"/>
    <x v="1"/>
    <s v="Senior"/>
  </r>
  <r>
    <n v="1610"/>
    <n v="40"/>
    <x v="0"/>
    <x v="2"/>
    <s v="Sales Manager"/>
    <n v="104404"/>
    <n v="4"/>
    <n v="3"/>
    <x v="0"/>
    <s v="Mid-Level"/>
  </r>
  <r>
    <n v="1611"/>
    <n v="58"/>
    <x v="0"/>
    <x v="4"/>
    <s v="Operations Executive"/>
    <n v="104368"/>
    <n v="19"/>
    <n v="5"/>
    <x v="0"/>
    <s v="Senior"/>
  </r>
  <r>
    <n v="1612"/>
    <n v="26"/>
    <x v="1"/>
    <x v="2"/>
    <s v="Sales Manager"/>
    <n v="23360"/>
    <n v="14"/>
    <n v="4"/>
    <x v="1"/>
    <s v="Senior"/>
  </r>
  <r>
    <n v="1613"/>
    <n v="36"/>
    <x v="0"/>
    <x v="2"/>
    <s v="Sales Manager"/>
    <n v="96962"/>
    <n v="20"/>
    <n v="2"/>
    <x v="1"/>
    <s v="Senior"/>
  </r>
  <r>
    <n v="1614"/>
    <n v="24"/>
    <x v="1"/>
    <x v="0"/>
    <s v="Engineer"/>
    <n v="27515"/>
    <n v="7"/>
    <n v="3"/>
    <x v="1"/>
    <s v="Senior"/>
  </r>
  <r>
    <n v="1615"/>
    <n v="29"/>
    <x v="0"/>
    <x v="2"/>
    <s v="Sales Executive"/>
    <n v="93738"/>
    <n v="2"/>
    <n v="3"/>
    <x v="0"/>
    <s v="Junior"/>
  </r>
  <r>
    <n v="1616"/>
    <n v="48"/>
    <x v="1"/>
    <x v="4"/>
    <s v="Supervisor"/>
    <n v="92409"/>
    <n v="4"/>
    <n v="4"/>
    <x v="0"/>
    <s v="Mid-Level"/>
  </r>
  <r>
    <n v="1617"/>
    <n v="23"/>
    <x v="1"/>
    <x v="5"/>
    <s v="SEO Specialist"/>
    <n v="80967"/>
    <n v="1"/>
    <n v="5"/>
    <x v="0"/>
    <s v="Junior"/>
  </r>
  <r>
    <n v="1618"/>
    <n v="57"/>
    <x v="1"/>
    <x v="3"/>
    <s v="HR Executive"/>
    <n v="79781"/>
    <n v="15"/>
    <n v="2"/>
    <x v="0"/>
    <s v="Senior"/>
  </r>
  <r>
    <n v="1619"/>
    <n v="57"/>
    <x v="0"/>
    <x v="3"/>
    <s v="HR Executive"/>
    <n v="113206"/>
    <n v="11"/>
    <n v="1"/>
    <x v="0"/>
    <s v="Senior"/>
  </r>
  <r>
    <n v="1620"/>
    <n v="44"/>
    <x v="1"/>
    <x v="3"/>
    <s v="Recruiter"/>
    <n v="76483"/>
    <n v="3"/>
    <n v="1"/>
    <x v="0"/>
    <s v="Mid-Level"/>
  </r>
  <r>
    <n v="1621"/>
    <n v="22"/>
    <x v="0"/>
    <x v="3"/>
    <s v="HR Executive"/>
    <n v="99533"/>
    <n v="5"/>
    <n v="3"/>
    <x v="0"/>
    <s v="Mid-Level"/>
  </r>
  <r>
    <n v="1622"/>
    <n v="43"/>
    <x v="1"/>
    <x v="2"/>
    <s v="Sales Manager"/>
    <n v="36109"/>
    <n v="8"/>
    <n v="3"/>
    <x v="0"/>
    <s v="Senior"/>
  </r>
  <r>
    <n v="1623"/>
    <n v="55"/>
    <x v="1"/>
    <x v="5"/>
    <s v="Marketing Executive"/>
    <n v="69073"/>
    <n v="9"/>
    <n v="1"/>
    <x v="0"/>
    <s v="Senior"/>
  </r>
  <r>
    <n v="1624"/>
    <n v="36"/>
    <x v="1"/>
    <x v="5"/>
    <s v="SEO Specialist"/>
    <n v="101915"/>
    <n v="12"/>
    <n v="3"/>
    <x v="0"/>
    <s v="Senior"/>
  </r>
  <r>
    <n v="1625"/>
    <n v="54"/>
    <x v="1"/>
    <x v="0"/>
    <s v="Engineer"/>
    <n v="67876"/>
    <n v="20"/>
    <n v="5"/>
    <x v="0"/>
    <s v="Senior"/>
  </r>
  <r>
    <n v="1626"/>
    <n v="23"/>
    <x v="1"/>
    <x v="5"/>
    <s v="SEO Specialist"/>
    <n v="30820"/>
    <n v="14"/>
    <n v="3"/>
    <x v="0"/>
    <s v="Senior"/>
  </r>
  <r>
    <n v="1627"/>
    <n v="37"/>
    <x v="1"/>
    <x v="4"/>
    <s v="Operations Executive"/>
    <n v="99319"/>
    <n v="17"/>
    <n v="2"/>
    <x v="0"/>
    <s v="Senior"/>
  </r>
  <r>
    <n v="1628"/>
    <n v="38"/>
    <x v="0"/>
    <x v="4"/>
    <s v="Supervisor"/>
    <n v="77639"/>
    <n v="2"/>
    <n v="5"/>
    <x v="0"/>
    <s v="Junior"/>
  </r>
  <r>
    <n v="1629"/>
    <n v="29"/>
    <x v="0"/>
    <x v="3"/>
    <s v="Recruiter"/>
    <n v="91945"/>
    <n v="17"/>
    <n v="3"/>
    <x v="0"/>
    <s v="Senior"/>
  </r>
  <r>
    <n v="1630"/>
    <n v="23"/>
    <x v="1"/>
    <x v="2"/>
    <s v="Sales Executive"/>
    <n v="49812"/>
    <n v="15"/>
    <n v="2"/>
    <x v="1"/>
    <s v="Senior"/>
  </r>
  <r>
    <n v="1631"/>
    <n v="47"/>
    <x v="0"/>
    <x v="1"/>
    <s v="Accountant"/>
    <n v="119831"/>
    <n v="15"/>
    <n v="3"/>
    <x v="0"/>
    <s v="Senior"/>
  </r>
  <r>
    <n v="1632"/>
    <n v="29"/>
    <x v="1"/>
    <x v="4"/>
    <s v="Supervisor"/>
    <n v="85193"/>
    <n v="5"/>
    <n v="1"/>
    <x v="0"/>
    <s v="Mid-Level"/>
  </r>
  <r>
    <n v="1633"/>
    <n v="54"/>
    <x v="0"/>
    <x v="4"/>
    <s v="Operations Executive"/>
    <n v="23917"/>
    <n v="13"/>
    <n v="2"/>
    <x v="0"/>
    <s v="Senior"/>
  </r>
  <r>
    <n v="1634"/>
    <n v="51"/>
    <x v="1"/>
    <x v="2"/>
    <s v="Sales Executive"/>
    <n v="64532"/>
    <n v="18"/>
    <n v="4"/>
    <x v="0"/>
    <s v="Senior"/>
  </r>
  <r>
    <n v="1635"/>
    <n v="26"/>
    <x v="1"/>
    <x v="1"/>
    <s v="Accountant"/>
    <n v="56424"/>
    <n v="4"/>
    <n v="3"/>
    <x v="0"/>
    <s v="Mid-Level"/>
  </r>
  <r>
    <n v="1636"/>
    <n v="39"/>
    <x v="0"/>
    <x v="5"/>
    <s v="SEO Specialist"/>
    <n v="35544"/>
    <n v="5"/>
    <n v="1"/>
    <x v="1"/>
    <s v="Mid-Level"/>
  </r>
  <r>
    <n v="1637"/>
    <n v="30"/>
    <x v="1"/>
    <x v="1"/>
    <s v="Accountant"/>
    <n v="57955"/>
    <n v="7"/>
    <n v="5"/>
    <x v="1"/>
    <s v="Senior"/>
  </r>
  <r>
    <n v="1638"/>
    <n v="26"/>
    <x v="0"/>
    <x v="3"/>
    <s v="HR Executive"/>
    <n v="69251"/>
    <n v="9"/>
    <n v="3"/>
    <x v="0"/>
    <s v="Senior"/>
  </r>
  <r>
    <n v="1639"/>
    <n v="47"/>
    <x v="1"/>
    <x v="1"/>
    <s v="Financial Analyst"/>
    <n v="112657"/>
    <n v="6"/>
    <n v="3"/>
    <x v="0"/>
    <s v="Mid-Level"/>
  </r>
  <r>
    <n v="1640"/>
    <n v="29"/>
    <x v="0"/>
    <x v="0"/>
    <s v="Analyst"/>
    <n v="41277"/>
    <n v="15"/>
    <n v="4"/>
    <x v="0"/>
    <s v="Senior"/>
  </r>
  <r>
    <n v="1641"/>
    <n v="34"/>
    <x v="1"/>
    <x v="5"/>
    <s v="Marketing Executive"/>
    <n v="111257"/>
    <n v="3"/>
    <n v="4"/>
    <x v="0"/>
    <s v="Mid-Level"/>
  </r>
  <r>
    <n v="1642"/>
    <n v="51"/>
    <x v="1"/>
    <x v="2"/>
    <s v="Sales Manager"/>
    <n v="49307"/>
    <n v="20"/>
    <n v="3"/>
    <x v="0"/>
    <s v="Senior"/>
  </r>
  <r>
    <n v="1643"/>
    <n v="22"/>
    <x v="0"/>
    <x v="2"/>
    <s v="Sales Executive"/>
    <n v="110391"/>
    <n v="16"/>
    <n v="4"/>
    <x v="0"/>
    <s v="Senior"/>
  </r>
  <r>
    <n v="1644"/>
    <n v="34"/>
    <x v="0"/>
    <x v="4"/>
    <s v="Operations Executive"/>
    <n v="32050"/>
    <n v="10"/>
    <n v="2"/>
    <x v="0"/>
    <s v="Senior"/>
  </r>
  <r>
    <n v="1645"/>
    <n v="52"/>
    <x v="1"/>
    <x v="5"/>
    <s v="SEO Specialist"/>
    <n v="72151"/>
    <n v="1"/>
    <n v="1"/>
    <x v="0"/>
    <s v="Junior"/>
  </r>
  <r>
    <n v="1646"/>
    <n v="55"/>
    <x v="1"/>
    <x v="5"/>
    <s v="SEO Specialist"/>
    <n v="24785"/>
    <n v="20"/>
    <n v="4"/>
    <x v="1"/>
    <s v="Senior"/>
  </r>
  <r>
    <n v="1647"/>
    <n v="32"/>
    <x v="0"/>
    <x v="5"/>
    <s v="SEO Specialist"/>
    <n v="60050"/>
    <n v="16"/>
    <n v="3"/>
    <x v="1"/>
    <s v="Senior"/>
  </r>
  <r>
    <n v="1648"/>
    <n v="51"/>
    <x v="0"/>
    <x v="5"/>
    <s v="SEO Specialist"/>
    <n v="24491"/>
    <n v="17"/>
    <n v="5"/>
    <x v="0"/>
    <s v="Senior"/>
  </r>
  <r>
    <n v="1649"/>
    <n v="30"/>
    <x v="1"/>
    <x v="4"/>
    <s v="Operations Executive"/>
    <n v="61835"/>
    <n v="6"/>
    <n v="3"/>
    <x v="0"/>
    <s v="Mid-Level"/>
  </r>
  <r>
    <n v="1650"/>
    <n v="46"/>
    <x v="0"/>
    <x v="0"/>
    <s v="Engineer"/>
    <n v="80136"/>
    <n v="14"/>
    <n v="1"/>
    <x v="0"/>
    <s v="Senior"/>
  </r>
  <r>
    <n v="1651"/>
    <n v="49"/>
    <x v="0"/>
    <x v="3"/>
    <s v="HR Executive"/>
    <n v="119116"/>
    <n v="8"/>
    <n v="4"/>
    <x v="1"/>
    <s v="Senior"/>
  </r>
  <r>
    <n v="1652"/>
    <n v="27"/>
    <x v="1"/>
    <x v="1"/>
    <s v="Financial Analyst"/>
    <n v="105562"/>
    <n v="14"/>
    <n v="2"/>
    <x v="0"/>
    <s v="Senior"/>
  </r>
  <r>
    <n v="1653"/>
    <n v="27"/>
    <x v="0"/>
    <x v="1"/>
    <s v="Accountant"/>
    <n v="25821"/>
    <n v="10"/>
    <n v="1"/>
    <x v="0"/>
    <s v="Senior"/>
  </r>
  <r>
    <n v="1654"/>
    <n v="54"/>
    <x v="1"/>
    <x v="1"/>
    <s v="Financial Analyst"/>
    <n v="100457"/>
    <n v="1"/>
    <n v="2"/>
    <x v="0"/>
    <s v="Junior"/>
  </r>
  <r>
    <n v="1655"/>
    <n v="49"/>
    <x v="1"/>
    <x v="0"/>
    <s v="Developer"/>
    <n v="29213"/>
    <n v="0"/>
    <n v="5"/>
    <x v="1"/>
    <s v="Junior"/>
  </r>
  <r>
    <n v="1656"/>
    <n v="42"/>
    <x v="1"/>
    <x v="4"/>
    <s v="Supervisor"/>
    <n v="79971"/>
    <n v="5"/>
    <n v="2"/>
    <x v="1"/>
    <s v="Mid-Level"/>
  </r>
  <r>
    <n v="1657"/>
    <n v="52"/>
    <x v="0"/>
    <x v="3"/>
    <s v="Recruiter"/>
    <n v="60326"/>
    <n v="11"/>
    <n v="1"/>
    <x v="0"/>
    <s v="Senior"/>
  </r>
  <r>
    <n v="1658"/>
    <n v="25"/>
    <x v="0"/>
    <x v="5"/>
    <s v="SEO Specialist"/>
    <n v="79521"/>
    <n v="20"/>
    <n v="1"/>
    <x v="0"/>
    <s v="Senior"/>
  </r>
  <r>
    <n v="1659"/>
    <n v="34"/>
    <x v="0"/>
    <x v="0"/>
    <s v="Analyst"/>
    <n v="117280"/>
    <n v="14"/>
    <n v="1"/>
    <x v="0"/>
    <s v="Senior"/>
  </r>
  <r>
    <n v="1660"/>
    <n v="23"/>
    <x v="0"/>
    <x v="1"/>
    <s v="Financial Analyst"/>
    <n v="57462"/>
    <n v="1"/>
    <n v="3"/>
    <x v="0"/>
    <s v="Junior"/>
  </r>
  <r>
    <n v="1661"/>
    <n v="52"/>
    <x v="0"/>
    <x v="1"/>
    <s v="Financial Analyst"/>
    <n v="76089"/>
    <n v="1"/>
    <n v="4"/>
    <x v="0"/>
    <s v="Junior"/>
  </r>
  <r>
    <n v="1662"/>
    <n v="38"/>
    <x v="0"/>
    <x v="0"/>
    <s v="Analyst"/>
    <n v="90477"/>
    <n v="11"/>
    <n v="3"/>
    <x v="0"/>
    <s v="Senior"/>
  </r>
  <r>
    <n v="1663"/>
    <n v="50"/>
    <x v="0"/>
    <x v="4"/>
    <s v="Operations Executive"/>
    <n v="88471"/>
    <n v="6"/>
    <n v="4"/>
    <x v="1"/>
    <s v="Mid-Level"/>
  </r>
  <r>
    <n v="1664"/>
    <n v="48"/>
    <x v="1"/>
    <x v="0"/>
    <s v="Analyst"/>
    <n v="73320"/>
    <n v="17"/>
    <n v="3"/>
    <x v="0"/>
    <s v="Senior"/>
  </r>
  <r>
    <n v="1665"/>
    <n v="42"/>
    <x v="1"/>
    <x v="4"/>
    <s v="Supervisor"/>
    <n v="68117"/>
    <n v="8"/>
    <n v="4"/>
    <x v="1"/>
    <s v="Senior"/>
  </r>
  <r>
    <n v="1666"/>
    <n v="38"/>
    <x v="0"/>
    <x v="4"/>
    <s v="Operations Executive"/>
    <n v="37074"/>
    <n v="12"/>
    <n v="2"/>
    <x v="1"/>
    <s v="Senior"/>
  </r>
  <r>
    <n v="1667"/>
    <n v="52"/>
    <x v="0"/>
    <x v="4"/>
    <s v="Operations Executive"/>
    <n v="92304"/>
    <n v="18"/>
    <n v="4"/>
    <x v="1"/>
    <s v="Senior"/>
  </r>
  <r>
    <n v="1668"/>
    <n v="47"/>
    <x v="1"/>
    <x v="1"/>
    <s v="Financial Analyst"/>
    <n v="70830"/>
    <n v="10"/>
    <n v="5"/>
    <x v="0"/>
    <s v="Senior"/>
  </r>
  <r>
    <n v="1669"/>
    <n v="31"/>
    <x v="1"/>
    <x v="2"/>
    <s v="Sales Manager"/>
    <n v="59327"/>
    <n v="6"/>
    <n v="2"/>
    <x v="0"/>
    <s v="Mid-Level"/>
  </r>
  <r>
    <n v="1670"/>
    <n v="44"/>
    <x v="0"/>
    <x v="2"/>
    <s v="Sales Executive"/>
    <n v="93537"/>
    <n v="15"/>
    <n v="5"/>
    <x v="0"/>
    <s v="Senior"/>
  </r>
  <r>
    <n v="1671"/>
    <n v="43"/>
    <x v="1"/>
    <x v="4"/>
    <s v="Supervisor"/>
    <n v="68457"/>
    <n v="1"/>
    <n v="3"/>
    <x v="0"/>
    <s v="Junior"/>
  </r>
  <r>
    <n v="1672"/>
    <n v="45"/>
    <x v="0"/>
    <x v="2"/>
    <s v="Sales Executive"/>
    <n v="35181"/>
    <n v="12"/>
    <n v="5"/>
    <x v="1"/>
    <s v="Senior"/>
  </r>
  <r>
    <n v="1673"/>
    <n v="58"/>
    <x v="0"/>
    <x v="1"/>
    <s v="Accountant"/>
    <n v="85571"/>
    <n v="8"/>
    <n v="1"/>
    <x v="0"/>
    <s v="Senior"/>
  </r>
  <r>
    <n v="1674"/>
    <n v="27"/>
    <x v="0"/>
    <x v="3"/>
    <s v="HR Executive"/>
    <n v="59332"/>
    <n v="19"/>
    <n v="4"/>
    <x v="1"/>
    <s v="Senior"/>
  </r>
  <r>
    <n v="1675"/>
    <n v="32"/>
    <x v="1"/>
    <x v="4"/>
    <s v="Operations Executive"/>
    <n v="22855"/>
    <n v="7"/>
    <n v="1"/>
    <x v="0"/>
    <s v="Senior"/>
  </r>
  <r>
    <n v="1676"/>
    <n v="50"/>
    <x v="1"/>
    <x v="1"/>
    <s v="Accountant"/>
    <n v="56873"/>
    <n v="1"/>
    <n v="1"/>
    <x v="0"/>
    <s v="Junior"/>
  </r>
  <r>
    <n v="1677"/>
    <n v="50"/>
    <x v="1"/>
    <x v="4"/>
    <s v="Operations Executive"/>
    <n v="90237"/>
    <n v="15"/>
    <n v="3"/>
    <x v="0"/>
    <s v="Senior"/>
  </r>
  <r>
    <n v="1678"/>
    <n v="42"/>
    <x v="1"/>
    <x v="4"/>
    <s v="Operations Executive"/>
    <n v="38194"/>
    <n v="18"/>
    <n v="2"/>
    <x v="1"/>
    <s v="Senior"/>
  </r>
  <r>
    <n v="1679"/>
    <n v="53"/>
    <x v="1"/>
    <x v="2"/>
    <s v="Sales Executive"/>
    <n v="48109"/>
    <n v="7"/>
    <n v="5"/>
    <x v="0"/>
    <s v="Senior"/>
  </r>
  <r>
    <n v="1680"/>
    <n v="56"/>
    <x v="1"/>
    <x v="3"/>
    <s v="Recruiter"/>
    <n v="118888"/>
    <n v="0"/>
    <n v="5"/>
    <x v="0"/>
    <s v="Junior"/>
  </r>
  <r>
    <n v="1681"/>
    <n v="48"/>
    <x v="0"/>
    <x v="4"/>
    <s v="Supervisor"/>
    <n v="96202"/>
    <n v="3"/>
    <n v="4"/>
    <x v="1"/>
    <s v="Mid-Level"/>
  </r>
  <r>
    <n v="1682"/>
    <n v="39"/>
    <x v="1"/>
    <x v="2"/>
    <s v="Sales Manager"/>
    <n v="83419"/>
    <n v="5"/>
    <n v="5"/>
    <x v="0"/>
    <s v="Mid-Level"/>
  </r>
  <r>
    <n v="1683"/>
    <n v="31"/>
    <x v="0"/>
    <x v="5"/>
    <s v="SEO Specialist"/>
    <n v="102122"/>
    <n v="4"/>
    <n v="3"/>
    <x v="0"/>
    <s v="Mid-Level"/>
  </r>
  <r>
    <n v="1684"/>
    <n v="48"/>
    <x v="0"/>
    <x v="3"/>
    <s v="Recruiter"/>
    <n v="116261"/>
    <n v="20"/>
    <n v="1"/>
    <x v="0"/>
    <s v="Senior"/>
  </r>
  <r>
    <n v="1685"/>
    <n v="25"/>
    <x v="1"/>
    <x v="5"/>
    <s v="SEO Specialist"/>
    <n v="110533"/>
    <n v="17"/>
    <n v="1"/>
    <x v="0"/>
    <s v="Senior"/>
  </r>
  <r>
    <n v="1686"/>
    <n v="28"/>
    <x v="0"/>
    <x v="1"/>
    <s v="Accountant"/>
    <n v="44527"/>
    <n v="10"/>
    <n v="3"/>
    <x v="1"/>
    <s v="Senior"/>
  </r>
  <r>
    <n v="1687"/>
    <n v="52"/>
    <x v="0"/>
    <x v="0"/>
    <s v="Developer"/>
    <n v="77002"/>
    <n v="6"/>
    <n v="5"/>
    <x v="0"/>
    <s v="Mid-Level"/>
  </r>
  <r>
    <n v="1688"/>
    <n v="27"/>
    <x v="0"/>
    <x v="2"/>
    <s v="Sales Executive"/>
    <n v="109720"/>
    <n v="1"/>
    <n v="5"/>
    <x v="0"/>
    <s v="Junior"/>
  </r>
  <r>
    <n v="1689"/>
    <n v="53"/>
    <x v="1"/>
    <x v="4"/>
    <s v="Supervisor"/>
    <n v="53471"/>
    <n v="4"/>
    <n v="5"/>
    <x v="0"/>
    <s v="Mid-Level"/>
  </r>
  <r>
    <n v="1690"/>
    <n v="56"/>
    <x v="1"/>
    <x v="3"/>
    <s v="Recruiter"/>
    <n v="47277"/>
    <n v="10"/>
    <n v="1"/>
    <x v="0"/>
    <s v="Senior"/>
  </r>
  <r>
    <n v="1691"/>
    <n v="25"/>
    <x v="0"/>
    <x v="3"/>
    <s v="HR Executive"/>
    <n v="63140"/>
    <n v="17"/>
    <n v="1"/>
    <x v="0"/>
    <s v="Senior"/>
  </r>
  <r>
    <n v="1692"/>
    <n v="38"/>
    <x v="0"/>
    <x v="2"/>
    <s v="Sales Manager"/>
    <n v="40551"/>
    <n v="17"/>
    <n v="1"/>
    <x v="0"/>
    <s v="Senior"/>
  </r>
  <r>
    <n v="1693"/>
    <n v="58"/>
    <x v="1"/>
    <x v="3"/>
    <s v="HR Executive"/>
    <n v="98010"/>
    <n v="5"/>
    <n v="1"/>
    <x v="1"/>
    <s v="Mid-Level"/>
  </r>
  <r>
    <n v="1694"/>
    <n v="30"/>
    <x v="1"/>
    <x v="1"/>
    <s v="Accountant"/>
    <n v="52633"/>
    <n v="12"/>
    <n v="3"/>
    <x v="0"/>
    <s v="Senior"/>
  </r>
  <r>
    <n v="1695"/>
    <n v="48"/>
    <x v="0"/>
    <x v="4"/>
    <s v="Operations Executive"/>
    <n v="114949"/>
    <n v="2"/>
    <n v="5"/>
    <x v="0"/>
    <s v="Junior"/>
  </r>
  <r>
    <n v="1696"/>
    <n v="30"/>
    <x v="1"/>
    <x v="4"/>
    <s v="Operations Executive"/>
    <n v="72909"/>
    <n v="16"/>
    <n v="3"/>
    <x v="0"/>
    <s v="Senior"/>
  </r>
  <r>
    <n v="1697"/>
    <n v="26"/>
    <x v="0"/>
    <x v="2"/>
    <s v="Sales Manager"/>
    <n v="73396"/>
    <n v="8"/>
    <n v="3"/>
    <x v="0"/>
    <s v="Senior"/>
  </r>
  <r>
    <n v="1698"/>
    <n v="57"/>
    <x v="1"/>
    <x v="5"/>
    <s v="Marketing Executive"/>
    <n v="112265"/>
    <n v="20"/>
    <n v="4"/>
    <x v="0"/>
    <s v="Senior"/>
  </r>
  <r>
    <n v="1699"/>
    <n v="39"/>
    <x v="1"/>
    <x v="5"/>
    <s v="Marketing Executive"/>
    <n v="66196"/>
    <n v="19"/>
    <n v="2"/>
    <x v="0"/>
    <s v="Senior"/>
  </r>
  <r>
    <n v="1700"/>
    <n v="41"/>
    <x v="1"/>
    <x v="2"/>
    <s v="Sales Executive"/>
    <n v="52203"/>
    <n v="8"/>
    <n v="2"/>
    <x v="0"/>
    <s v="Senior"/>
  </r>
  <r>
    <n v="1701"/>
    <n v="23"/>
    <x v="0"/>
    <x v="2"/>
    <s v="Sales Executive"/>
    <n v="36354"/>
    <n v="3"/>
    <n v="2"/>
    <x v="0"/>
    <s v="Mid-Level"/>
  </r>
  <r>
    <n v="1702"/>
    <n v="24"/>
    <x v="1"/>
    <x v="2"/>
    <s v="Sales Manager"/>
    <n v="109610"/>
    <n v="9"/>
    <n v="3"/>
    <x v="1"/>
    <s v="Senior"/>
  </r>
  <r>
    <n v="1703"/>
    <n v="39"/>
    <x v="0"/>
    <x v="4"/>
    <s v="Supervisor"/>
    <n v="71675"/>
    <n v="16"/>
    <n v="3"/>
    <x v="0"/>
    <s v="Senior"/>
  </r>
  <r>
    <n v="1704"/>
    <n v="49"/>
    <x v="0"/>
    <x v="1"/>
    <s v="Accountant"/>
    <n v="51683"/>
    <n v="13"/>
    <n v="5"/>
    <x v="1"/>
    <s v="Senior"/>
  </r>
  <r>
    <n v="1705"/>
    <n v="38"/>
    <x v="0"/>
    <x v="5"/>
    <s v="Marketing Executive"/>
    <n v="82312"/>
    <n v="15"/>
    <n v="1"/>
    <x v="0"/>
    <s v="Senior"/>
  </r>
  <r>
    <n v="1706"/>
    <n v="51"/>
    <x v="0"/>
    <x v="3"/>
    <s v="Recruiter"/>
    <n v="72590"/>
    <n v="17"/>
    <n v="4"/>
    <x v="0"/>
    <s v="Senior"/>
  </r>
  <r>
    <n v="1707"/>
    <n v="57"/>
    <x v="1"/>
    <x v="0"/>
    <s v="Analyst"/>
    <n v="36828"/>
    <n v="6"/>
    <n v="3"/>
    <x v="0"/>
    <s v="Mid-Level"/>
  </r>
  <r>
    <n v="1708"/>
    <n v="25"/>
    <x v="1"/>
    <x v="0"/>
    <s v="Engineer"/>
    <n v="79441"/>
    <n v="6"/>
    <n v="4"/>
    <x v="0"/>
    <s v="Mid-Level"/>
  </r>
  <r>
    <n v="1709"/>
    <n v="42"/>
    <x v="0"/>
    <x v="0"/>
    <s v="Developer"/>
    <n v="23478"/>
    <n v="13"/>
    <n v="5"/>
    <x v="0"/>
    <s v="Senior"/>
  </r>
  <r>
    <n v="1710"/>
    <n v="40"/>
    <x v="1"/>
    <x v="1"/>
    <s v="Accountant"/>
    <n v="58112"/>
    <n v="11"/>
    <n v="5"/>
    <x v="1"/>
    <s v="Senior"/>
  </r>
  <r>
    <n v="1711"/>
    <n v="23"/>
    <x v="0"/>
    <x v="5"/>
    <s v="SEO Specialist"/>
    <n v="60520"/>
    <n v="15"/>
    <n v="4"/>
    <x v="0"/>
    <s v="Senior"/>
  </r>
  <r>
    <n v="1712"/>
    <n v="51"/>
    <x v="1"/>
    <x v="0"/>
    <s v="Analyst"/>
    <n v="73934"/>
    <n v="0"/>
    <n v="3"/>
    <x v="0"/>
    <s v="Junior"/>
  </r>
  <r>
    <n v="1713"/>
    <n v="50"/>
    <x v="0"/>
    <x v="2"/>
    <s v="Sales Executive"/>
    <n v="110502"/>
    <n v="12"/>
    <n v="1"/>
    <x v="1"/>
    <s v="Senior"/>
  </r>
  <r>
    <n v="1714"/>
    <n v="30"/>
    <x v="1"/>
    <x v="1"/>
    <s v="Accountant"/>
    <n v="59003"/>
    <n v="0"/>
    <n v="4"/>
    <x v="0"/>
    <s v="Junior"/>
  </r>
  <r>
    <n v="1715"/>
    <n v="36"/>
    <x v="1"/>
    <x v="5"/>
    <s v="Marketing Executive"/>
    <n v="32965"/>
    <n v="6"/>
    <n v="4"/>
    <x v="0"/>
    <s v="Mid-Level"/>
  </r>
  <r>
    <n v="1716"/>
    <n v="25"/>
    <x v="1"/>
    <x v="4"/>
    <s v="Supervisor"/>
    <n v="68055"/>
    <n v="14"/>
    <n v="1"/>
    <x v="0"/>
    <s v="Senior"/>
  </r>
  <r>
    <n v="1717"/>
    <n v="49"/>
    <x v="1"/>
    <x v="2"/>
    <s v="Sales Executive"/>
    <n v="48714"/>
    <n v="14"/>
    <n v="3"/>
    <x v="0"/>
    <s v="Senior"/>
  </r>
  <r>
    <n v="1718"/>
    <n v="29"/>
    <x v="1"/>
    <x v="5"/>
    <s v="SEO Specialist"/>
    <n v="82955"/>
    <n v="15"/>
    <n v="4"/>
    <x v="1"/>
    <s v="Senior"/>
  </r>
  <r>
    <n v="1719"/>
    <n v="40"/>
    <x v="1"/>
    <x v="1"/>
    <s v="Accountant"/>
    <n v="114630"/>
    <n v="3"/>
    <n v="4"/>
    <x v="1"/>
    <s v="Mid-Level"/>
  </r>
  <r>
    <n v="1720"/>
    <n v="22"/>
    <x v="1"/>
    <x v="5"/>
    <s v="SEO Specialist"/>
    <n v="100169"/>
    <n v="15"/>
    <n v="5"/>
    <x v="0"/>
    <s v="Senior"/>
  </r>
  <r>
    <n v="1721"/>
    <n v="39"/>
    <x v="0"/>
    <x v="1"/>
    <s v="Accountant"/>
    <n v="62142"/>
    <n v="6"/>
    <n v="5"/>
    <x v="1"/>
    <s v="Mid-Level"/>
  </r>
  <r>
    <n v="1722"/>
    <n v="47"/>
    <x v="1"/>
    <x v="3"/>
    <s v="HR Executive"/>
    <n v="28318"/>
    <n v="8"/>
    <n v="2"/>
    <x v="0"/>
    <s v="Senior"/>
  </r>
  <r>
    <n v="1723"/>
    <n v="58"/>
    <x v="0"/>
    <x v="0"/>
    <s v="Engineer"/>
    <n v="59771"/>
    <n v="19"/>
    <n v="5"/>
    <x v="0"/>
    <s v="Senior"/>
  </r>
  <r>
    <n v="1724"/>
    <n v="53"/>
    <x v="0"/>
    <x v="0"/>
    <s v="Analyst"/>
    <n v="71918"/>
    <n v="14"/>
    <n v="4"/>
    <x v="0"/>
    <s v="Senior"/>
  </r>
  <r>
    <n v="1725"/>
    <n v="32"/>
    <x v="0"/>
    <x v="3"/>
    <s v="Recruiter"/>
    <n v="116022"/>
    <n v="6"/>
    <n v="4"/>
    <x v="0"/>
    <s v="Mid-Level"/>
  </r>
  <r>
    <n v="1726"/>
    <n v="57"/>
    <x v="0"/>
    <x v="3"/>
    <s v="Recruiter"/>
    <n v="81427"/>
    <n v="19"/>
    <n v="3"/>
    <x v="0"/>
    <s v="Senior"/>
  </r>
  <r>
    <n v="1727"/>
    <n v="48"/>
    <x v="0"/>
    <x v="5"/>
    <s v="SEO Specialist"/>
    <n v="88731"/>
    <n v="10"/>
    <n v="1"/>
    <x v="1"/>
    <s v="Senior"/>
  </r>
  <r>
    <n v="1728"/>
    <n v="31"/>
    <x v="1"/>
    <x v="0"/>
    <s v="Developer"/>
    <n v="91869"/>
    <n v="14"/>
    <n v="3"/>
    <x v="1"/>
    <s v="Senior"/>
  </r>
  <r>
    <n v="1729"/>
    <n v="29"/>
    <x v="0"/>
    <x v="5"/>
    <s v="SEO Specialist"/>
    <n v="107557"/>
    <n v="0"/>
    <n v="4"/>
    <x v="1"/>
    <s v="Junior"/>
  </r>
  <r>
    <n v="1730"/>
    <n v="47"/>
    <x v="0"/>
    <x v="0"/>
    <s v="Analyst"/>
    <n v="71917"/>
    <n v="20"/>
    <n v="2"/>
    <x v="0"/>
    <s v="Senior"/>
  </r>
  <r>
    <n v="1731"/>
    <n v="26"/>
    <x v="1"/>
    <x v="3"/>
    <s v="HR Executive"/>
    <n v="109207"/>
    <n v="15"/>
    <n v="1"/>
    <x v="0"/>
    <s v="Senior"/>
  </r>
  <r>
    <n v="1732"/>
    <n v="33"/>
    <x v="0"/>
    <x v="2"/>
    <s v="Sales Manager"/>
    <n v="113650"/>
    <n v="10"/>
    <n v="1"/>
    <x v="0"/>
    <s v="Senior"/>
  </r>
  <r>
    <n v="1733"/>
    <n v="33"/>
    <x v="1"/>
    <x v="2"/>
    <s v="Sales Manager"/>
    <n v="108697"/>
    <n v="2"/>
    <n v="1"/>
    <x v="0"/>
    <s v="Junior"/>
  </r>
  <r>
    <n v="1734"/>
    <n v="36"/>
    <x v="1"/>
    <x v="4"/>
    <s v="Operations Executive"/>
    <n v="89672"/>
    <n v="16"/>
    <n v="1"/>
    <x v="0"/>
    <s v="Senior"/>
  </r>
  <r>
    <n v="1735"/>
    <n v="28"/>
    <x v="0"/>
    <x v="4"/>
    <s v="Supervisor"/>
    <n v="76078"/>
    <n v="15"/>
    <n v="4"/>
    <x v="1"/>
    <s v="Senior"/>
  </r>
  <r>
    <n v="1736"/>
    <n v="36"/>
    <x v="1"/>
    <x v="0"/>
    <s v="Engineer"/>
    <n v="26715"/>
    <n v="17"/>
    <n v="4"/>
    <x v="0"/>
    <s v="Senior"/>
  </r>
  <r>
    <n v="1737"/>
    <n v="52"/>
    <x v="1"/>
    <x v="3"/>
    <s v="Recruiter"/>
    <n v="88395"/>
    <n v="19"/>
    <n v="4"/>
    <x v="1"/>
    <s v="Senior"/>
  </r>
  <r>
    <n v="1738"/>
    <n v="58"/>
    <x v="1"/>
    <x v="1"/>
    <s v="Financial Analyst"/>
    <n v="57587"/>
    <n v="2"/>
    <n v="4"/>
    <x v="0"/>
    <s v="Junior"/>
  </r>
  <r>
    <n v="1739"/>
    <n v="47"/>
    <x v="0"/>
    <x v="4"/>
    <s v="Supervisor"/>
    <n v="74554"/>
    <n v="4"/>
    <n v="4"/>
    <x v="1"/>
    <s v="Mid-Level"/>
  </r>
  <r>
    <n v="1740"/>
    <n v="47"/>
    <x v="1"/>
    <x v="0"/>
    <s v="Developer"/>
    <n v="25939"/>
    <n v="11"/>
    <n v="1"/>
    <x v="0"/>
    <s v="Senior"/>
  </r>
  <r>
    <n v="1741"/>
    <n v="45"/>
    <x v="0"/>
    <x v="0"/>
    <s v="Developer"/>
    <n v="23812"/>
    <n v="16"/>
    <n v="3"/>
    <x v="0"/>
    <s v="Senior"/>
  </r>
  <r>
    <n v="1742"/>
    <n v="28"/>
    <x v="0"/>
    <x v="0"/>
    <s v="Analyst"/>
    <n v="48313"/>
    <n v="5"/>
    <n v="5"/>
    <x v="0"/>
    <s v="Mid-Level"/>
  </r>
  <r>
    <n v="1743"/>
    <n v="27"/>
    <x v="0"/>
    <x v="1"/>
    <s v="Financial Analyst"/>
    <n v="95091"/>
    <n v="0"/>
    <n v="2"/>
    <x v="0"/>
    <s v="Junior"/>
  </r>
  <r>
    <n v="1744"/>
    <n v="53"/>
    <x v="1"/>
    <x v="1"/>
    <s v="Accountant"/>
    <n v="80641"/>
    <n v="15"/>
    <n v="5"/>
    <x v="0"/>
    <s v="Senior"/>
  </r>
  <r>
    <n v="1745"/>
    <n v="30"/>
    <x v="0"/>
    <x v="5"/>
    <s v="SEO Specialist"/>
    <n v="67160"/>
    <n v="20"/>
    <n v="4"/>
    <x v="0"/>
    <s v="Senior"/>
  </r>
  <r>
    <n v="1746"/>
    <n v="51"/>
    <x v="1"/>
    <x v="5"/>
    <s v="Marketing Executive"/>
    <n v="109454"/>
    <n v="19"/>
    <n v="1"/>
    <x v="1"/>
    <s v="Senior"/>
  </r>
  <r>
    <n v="1747"/>
    <n v="54"/>
    <x v="1"/>
    <x v="5"/>
    <s v="SEO Specialist"/>
    <n v="64837"/>
    <n v="16"/>
    <n v="4"/>
    <x v="0"/>
    <s v="Senior"/>
  </r>
  <r>
    <n v="1748"/>
    <n v="23"/>
    <x v="1"/>
    <x v="0"/>
    <s v="Developer"/>
    <n v="107988"/>
    <n v="18"/>
    <n v="4"/>
    <x v="0"/>
    <s v="Senior"/>
  </r>
  <r>
    <n v="1749"/>
    <n v="40"/>
    <x v="1"/>
    <x v="0"/>
    <s v="Analyst"/>
    <n v="109416"/>
    <n v="14"/>
    <n v="4"/>
    <x v="1"/>
    <s v="Senior"/>
  </r>
  <r>
    <n v="1750"/>
    <n v="27"/>
    <x v="1"/>
    <x v="4"/>
    <s v="Operations Executive"/>
    <n v="30821"/>
    <n v="11"/>
    <n v="1"/>
    <x v="0"/>
    <s v="Senior"/>
  </r>
  <r>
    <n v="1751"/>
    <n v="53"/>
    <x v="0"/>
    <x v="4"/>
    <s v="Operations Executive"/>
    <n v="80106"/>
    <n v="13"/>
    <n v="5"/>
    <x v="1"/>
    <s v="Senior"/>
  </r>
  <r>
    <n v="1752"/>
    <n v="49"/>
    <x v="0"/>
    <x v="0"/>
    <s v="Engineer"/>
    <n v="85018"/>
    <n v="5"/>
    <n v="5"/>
    <x v="1"/>
    <s v="Mid-Level"/>
  </r>
  <r>
    <n v="1753"/>
    <n v="28"/>
    <x v="0"/>
    <x v="3"/>
    <s v="Recruiter"/>
    <n v="106551"/>
    <n v="16"/>
    <n v="5"/>
    <x v="0"/>
    <s v="Senior"/>
  </r>
  <r>
    <n v="1754"/>
    <n v="27"/>
    <x v="0"/>
    <x v="4"/>
    <s v="Operations Executive"/>
    <n v="85095"/>
    <n v="20"/>
    <n v="3"/>
    <x v="0"/>
    <s v="Senior"/>
  </r>
  <r>
    <n v="1755"/>
    <n v="36"/>
    <x v="1"/>
    <x v="4"/>
    <s v="Supervisor"/>
    <n v="35947"/>
    <n v="10"/>
    <n v="3"/>
    <x v="0"/>
    <s v="Senior"/>
  </r>
  <r>
    <n v="1756"/>
    <n v="46"/>
    <x v="1"/>
    <x v="4"/>
    <s v="Supervisor"/>
    <n v="51388"/>
    <n v="17"/>
    <n v="5"/>
    <x v="0"/>
    <s v="Senior"/>
  </r>
  <r>
    <n v="1757"/>
    <n v="53"/>
    <x v="0"/>
    <x v="3"/>
    <s v="Recruiter"/>
    <n v="42278"/>
    <n v="15"/>
    <n v="5"/>
    <x v="0"/>
    <s v="Senior"/>
  </r>
  <r>
    <n v="1758"/>
    <n v="48"/>
    <x v="1"/>
    <x v="5"/>
    <s v="SEO Specialist"/>
    <n v="66447"/>
    <n v="18"/>
    <n v="4"/>
    <x v="0"/>
    <s v="Senior"/>
  </r>
  <r>
    <n v="1759"/>
    <n v="28"/>
    <x v="1"/>
    <x v="1"/>
    <s v="Accountant"/>
    <n v="118271"/>
    <n v="18"/>
    <n v="4"/>
    <x v="1"/>
    <s v="Senior"/>
  </r>
  <r>
    <n v="1760"/>
    <n v="37"/>
    <x v="1"/>
    <x v="4"/>
    <s v="Supervisor"/>
    <n v="47632"/>
    <n v="10"/>
    <n v="2"/>
    <x v="0"/>
    <s v="Senior"/>
  </r>
  <r>
    <n v="1761"/>
    <n v="35"/>
    <x v="1"/>
    <x v="3"/>
    <s v="HR Executive"/>
    <n v="46806"/>
    <n v="8"/>
    <n v="5"/>
    <x v="0"/>
    <s v="Senior"/>
  </r>
  <r>
    <n v="1762"/>
    <n v="58"/>
    <x v="0"/>
    <x v="1"/>
    <s v="Accountant"/>
    <n v="79568"/>
    <n v="9"/>
    <n v="4"/>
    <x v="1"/>
    <s v="Senior"/>
  </r>
  <r>
    <n v="1763"/>
    <n v="52"/>
    <x v="1"/>
    <x v="5"/>
    <s v="Marketing Executive"/>
    <n v="86403"/>
    <n v="8"/>
    <n v="4"/>
    <x v="0"/>
    <s v="Senior"/>
  </r>
  <r>
    <n v="1764"/>
    <n v="23"/>
    <x v="1"/>
    <x v="2"/>
    <s v="Sales Executive"/>
    <n v="63770"/>
    <n v="15"/>
    <n v="3"/>
    <x v="0"/>
    <s v="Senior"/>
  </r>
  <r>
    <n v="1765"/>
    <n v="50"/>
    <x v="0"/>
    <x v="3"/>
    <s v="Recruiter"/>
    <n v="100513"/>
    <n v="8"/>
    <n v="3"/>
    <x v="1"/>
    <s v="Senior"/>
  </r>
  <r>
    <n v="1766"/>
    <n v="39"/>
    <x v="0"/>
    <x v="1"/>
    <s v="Financial Analyst"/>
    <n v="84103"/>
    <n v="2"/>
    <n v="1"/>
    <x v="0"/>
    <s v="Junior"/>
  </r>
  <r>
    <n v="1767"/>
    <n v="47"/>
    <x v="1"/>
    <x v="5"/>
    <s v="Marketing Executive"/>
    <n v="20343"/>
    <n v="3"/>
    <n v="3"/>
    <x v="1"/>
    <s v="Mid-Level"/>
  </r>
  <r>
    <n v="1768"/>
    <n v="24"/>
    <x v="0"/>
    <x v="1"/>
    <s v="Accountant"/>
    <n v="97300"/>
    <n v="3"/>
    <n v="3"/>
    <x v="0"/>
    <s v="Mid-Level"/>
  </r>
  <r>
    <n v="1769"/>
    <n v="27"/>
    <x v="1"/>
    <x v="0"/>
    <s v="Analyst"/>
    <n v="86239"/>
    <n v="1"/>
    <n v="2"/>
    <x v="0"/>
    <s v="Junior"/>
  </r>
  <r>
    <n v="1770"/>
    <n v="48"/>
    <x v="1"/>
    <x v="5"/>
    <s v="Marketing Executive"/>
    <n v="58043"/>
    <n v="20"/>
    <n v="4"/>
    <x v="1"/>
    <s v="Senior"/>
  </r>
  <r>
    <n v="1771"/>
    <n v="58"/>
    <x v="1"/>
    <x v="3"/>
    <s v="HR Executive"/>
    <n v="44035"/>
    <n v="14"/>
    <n v="1"/>
    <x v="0"/>
    <s v="Senior"/>
  </r>
  <r>
    <n v="1772"/>
    <n v="48"/>
    <x v="1"/>
    <x v="4"/>
    <s v="Supervisor"/>
    <n v="26296"/>
    <n v="12"/>
    <n v="4"/>
    <x v="0"/>
    <s v="Senior"/>
  </r>
  <r>
    <n v="1773"/>
    <n v="56"/>
    <x v="0"/>
    <x v="3"/>
    <s v="Recruiter"/>
    <n v="23738"/>
    <n v="14"/>
    <n v="4"/>
    <x v="0"/>
    <s v="Senior"/>
  </r>
  <r>
    <n v="1774"/>
    <n v="55"/>
    <x v="0"/>
    <x v="4"/>
    <s v="Operations Executive"/>
    <n v="36014"/>
    <n v="11"/>
    <n v="3"/>
    <x v="0"/>
    <s v="Senior"/>
  </r>
  <r>
    <n v="1775"/>
    <n v="41"/>
    <x v="0"/>
    <x v="1"/>
    <s v="Accountant"/>
    <n v="54409"/>
    <n v="11"/>
    <n v="2"/>
    <x v="0"/>
    <s v="Senior"/>
  </r>
  <r>
    <n v="1776"/>
    <n v="42"/>
    <x v="1"/>
    <x v="4"/>
    <s v="Supervisor"/>
    <n v="60013"/>
    <n v="20"/>
    <n v="5"/>
    <x v="0"/>
    <s v="Senior"/>
  </r>
  <r>
    <n v="1777"/>
    <n v="22"/>
    <x v="0"/>
    <x v="2"/>
    <s v="Sales Manager"/>
    <n v="73203"/>
    <n v="9"/>
    <n v="4"/>
    <x v="0"/>
    <s v="Senior"/>
  </r>
  <r>
    <n v="1778"/>
    <n v="32"/>
    <x v="1"/>
    <x v="2"/>
    <s v="Sales Executive"/>
    <n v="31640"/>
    <n v="15"/>
    <n v="1"/>
    <x v="0"/>
    <s v="Senior"/>
  </r>
  <r>
    <n v="1779"/>
    <n v="34"/>
    <x v="1"/>
    <x v="5"/>
    <s v="SEO Specialist"/>
    <n v="75703"/>
    <n v="6"/>
    <n v="3"/>
    <x v="0"/>
    <s v="Mid-Level"/>
  </r>
  <r>
    <n v="1780"/>
    <n v="49"/>
    <x v="1"/>
    <x v="3"/>
    <s v="HR Executive"/>
    <n v="34171"/>
    <n v="16"/>
    <n v="2"/>
    <x v="0"/>
    <s v="Senior"/>
  </r>
  <r>
    <n v="1781"/>
    <n v="35"/>
    <x v="0"/>
    <x v="3"/>
    <s v="HR Executive"/>
    <n v="33369"/>
    <n v="8"/>
    <n v="2"/>
    <x v="0"/>
    <s v="Senior"/>
  </r>
  <r>
    <n v="1782"/>
    <n v="41"/>
    <x v="1"/>
    <x v="3"/>
    <s v="HR Executive"/>
    <n v="79952"/>
    <n v="16"/>
    <n v="4"/>
    <x v="0"/>
    <s v="Senior"/>
  </r>
  <r>
    <n v="1783"/>
    <n v="49"/>
    <x v="0"/>
    <x v="5"/>
    <s v="Marketing Executive"/>
    <n v="106795"/>
    <n v="17"/>
    <n v="3"/>
    <x v="1"/>
    <s v="Senior"/>
  </r>
  <r>
    <n v="1784"/>
    <n v="51"/>
    <x v="0"/>
    <x v="2"/>
    <s v="Sales Manager"/>
    <n v="37618"/>
    <n v="9"/>
    <n v="3"/>
    <x v="0"/>
    <s v="Senior"/>
  </r>
  <r>
    <n v="1785"/>
    <n v="45"/>
    <x v="0"/>
    <x v="2"/>
    <s v="Sales Manager"/>
    <n v="33391"/>
    <n v="1"/>
    <n v="2"/>
    <x v="0"/>
    <s v="Junior"/>
  </r>
  <r>
    <n v="1786"/>
    <n v="30"/>
    <x v="1"/>
    <x v="0"/>
    <s v="Engineer"/>
    <n v="82998"/>
    <n v="4"/>
    <n v="4"/>
    <x v="1"/>
    <s v="Mid-Level"/>
  </r>
  <r>
    <n v="1787"/>
    <n v="58"/>
    <x v="1"/>
    <x v="0"/>
    <s v="Analyst"/>
    <n v="20972"/>
    <n v="18"/>
    <n v="3"/>
    <x v="0"/>
    <s v="Senior"/>
  </r>
  <r>
    <n v="1788"/>
    <n v="52"/>
    <x v="1"/>
    <x v="4"/>
    <s v="Operations Executive"/>
    <n v="83275"/>
    <n v="8"/>
    <n v="3"/>
    <x v="0"/>
    <s v="Senior"/>
  </r>
  <r>
    <n v="1789"/>
    <n v="30"/>
    <x v="1"/>
    <x v="3"/>
    <s v="HR Executive"/>
    <n v="47274"/>
    <n v="12"/>
    <n v="4"/>
    <x v="0"/>
    <s v="Senior"/>
  </r>
  <r>
    <n v="1790"/>
    <n v="26"/>
    <x v="0"/>
    <x v="2"/>
    <s v="Sales Manager"/>
    <n v="55485"/>
    <n v="20"/>
    <n v="3"/>
    <x v="1"/>
    <s v="Senior"/>
  </r>
  <r>
    <n v="1791"/>
    <n v="38"/>
    <x v="0"/>
    <x v="5"/>
    <s v="Marketing Executive"/>
    <n v="110443"/>
    <n v="8"/>
    <n v="2"/>
    <x v="0"/>
    <s v="Senior"/>
  </r>
  <r>
    <n v="1792"/>
    <n v="42"/>
    <x v="0"/>
    <x v="3"/>
    <s v="HR Executive"/>
    <n v="45502"/>
    <n v="1"/>
    <n v="3"/>
    <x v="0"/>
    <s v="Junior"/>
  </r>
  <r>
    <n v="1793"/>
    <n v="39"/>
    <x v="0"/>
    <x v="1"/>
    <s v="Financial Analyst"/>
    <n v="40294"/>
    <n v="0"/>
    <n v="2"/>
    <x v="0"/>
    <s v="Junior"/>
  </r>
  <r>
    <n v="1794"/>
    <n v="47"/>
    <x v="0"/>
    <x v="1"/>
    <s v="Financial Analyst"/>
    <n v="40799"/>
    <n v="19"/>
    <n v="1"/>
    <x v="0"/>
    <s v="Senior"/>
  </r>
  <r>
    <n v="1795"/>
    <n v="43"/>
    <x v="1"/>
    <x v="4"/>
    <s v="Operations Executive"/>
    <n v="119785"/>
    <n v="9"/>
    <n v="5"/>
    <x v="0"/>
    <s v="Senior"/>
  </r>
  <r>
    <n v="1796"/>
    <n v="50"/>
    <x v="0"/>
    <x v="4"/>
    <s v="Operations Executive"/>
    <n v="44349"/>
    <n v="7"/>
    <n v="1"/>
    <x v="1"/>
    <s v="Senior"/>
  </r>
  <r>
    <n v="1797"/>
    <n v="47"/>
    <x v="1"/>
    <x v="3"/>
    <s v="Recruiter"/>
    <n v="66787"/>
    <n v="16"/>
    <n v="1"/>
    <x v="1"/>
    <s v="Senior"/>
  </r>
  <r>
    <n v="1798"/>
    <n v="25"/>
    <x v="0"/>
    <x v="3"/>
    <s v="Recruiter"/>
    <n v="108035"/>
    <n v="7"/>
    <n v="4"/>
    <x v="0"/>
    <s v="Senior"/>
  </r>
  <r>
    <n v="1799"/>
    <n v="49"/>
    <x v="1"/>
    <x v="2"/>
    <s v="Sales Manager"/>
    <n v="117779"/>
    <n v="18"/>
    <n v="2"/>
    <x v="0"/>
    <s v="Senior"/>
  </r>
  <r>
    <n v="1800"/>
    <n v="31"/>
    <x v="0"/>
    <x v="1"/>
    <s v="Accountant"/>
    <n v="113551"/>
    <n v="6"/>
    <n v="2"/>
    <x v="0"/>
    <s v="Mid-Level"/>
  </r>
  <r>
    <n v="1801"/>
    <n v="34"/>
    <x v="1"/>
    <x v="5"/>
    <s v="Marketing Executive"/>
    <n v="55222"/>
    <n v="12"/>
    <n v="3"/>
    <x v="0"/>
    <s v="Senior"/>
  </r>
  <r>
    <n v="1802"/>
    <n v="55"/>
    <x v="0"/>
    <x v="5"/>
    <s v="SEO Specialist"/>
    <n v="32107"/>
    <n v="10"/>
    <n v="4"/>
    <x v="0"/>
    <s v="Senior"/>
  </r>
  <r>
    <n v="1803"/>
    <n v="27"/>
    <x v="1"/>
    <x v="4"/>
    <s v="Supervisor"/>
    <n v="31403"/>
    <n v="15"/>
    <n v="5"/>
    <x v="0"/>
    <s v="Senior"/>
  </r>
  <r>
    <n v="1804"/>
    <n v="57"/>
    <x v="0"/>
    <x v="5"/>
    <s v="SEO Specialist"/>
    <n v="91278"/>
    <n v="9"/>
    <n v="2"/>
    <x v="0"/>
    <s v="Senior"/>
  </r>
  <r>
    <n v="1805"/>
    <n v="32"/>
    <x v="0"/>
    <x v="0"/>
    <s v="Engineer"/>
    <n v="102529"/>
    <n v="13"/>
    <n v="4"/>
    <x v="0"/>
    <s v="Senior"/>
  </r>
  <r>
    <n v="1806"/>
    <n v="31"/>
    <x v="0"/>
    <x v="2"/>
    <s v="Sales Executive"/>
    <n v="96654"/>
    <n v="2"/>
    <n v="5"/>
    <x v="1"/>
    <s v="Junior"/>
  </r>
  <r>
    <n v="1807"/>
    <n v="37"/>
    <x v="1"/>
    <x v="0"/>
    <s v="Developer"/>
    <n v="43973"/>
    <n v="9"/>
    <n v="1"/>
    <x v="0"/>
    <s v="Senior"/>
  </r>
  <r>
    <n v="1808"/>
    <n v="57"/>
    <x v="1"/>
    <x v="3"/>
    <s v="HR Executive"/>
    <n v="29322"/>
    <n v="16"/>
    <n v="3"/>
    <x v="1"/>
    <s v="Senior"/>
  </r>
  <r>
    <n v="1809"/>
    <n v="22"/>
    <x v="1"/>
    <x v="5"/>
    <s v="SEO Specialist"/>
    <n v="35429"/>
    <n v="14"/>
    <n v="1"/>
    <x v="0"/>
    <s v="Senior"/>
  </r>
  <r>
    <n v="1810"/>
    <n v="57"/>
    <x v="1"/>
    <x v="0"/>
    <s v="Developer"/>
    <n v="63420"/>
    <n v="3"/>
    <n v="2"/>
    <x v="0"/>
    <s v="Mid-Level"/>
  </r>
  <r>
    <n v="1811"/>
    <n v="55"/>
    <x v="0"/>
    <x v="5"/>
    <s v="Marketing Executive"/>
    <n v="20416"/>
    <n v="15"/>
    <n v="1"/>
    <x v="1"/>
    <s v="Senior"/>
  </r>
  <r>
    <n v="1812"/>
    <n v="47"/>
    <x v="0"/>
    <x v="2"/>
    <s v="Sales Executive"/>
    <n v="27175"/>
    <n v="7"/>
    <n v="3"/>
    <x v="0"/>
    <s v="Senior"/>
  </r>
  <r>
    <n v="1813"/>
    <n v="32"/>
    <x v="1"/>
    <x v="3"/>
    <s v="HR Executive"/>
    <n v="61348"/>
    <n v="5"/>
    <n v="5"/>
    <x v="1"/>
    <s v="Mid-Level"/>
  </r>
  <r>
    <n v="1814"/>
    <n v="46"/>
    <x v="0"/>
    <x v="0"/>
    <s v="Engineer"/>
    <n v="27337"/>
    <n v="12"/>
    <n v="3"/>
    <x v="1"/>
    <s v="Senior"/>
  </r>
  <r>
    <n v="1815"/>
    <n v="31"/>
    <x v="0"/>
    <x v="5"/>
    <s v="Marketing Executive"/>
    <n v="89578"/>
    <n v="0"/>
    <n v="3"/>
    <x v="1"/>
    <s v="Junior"/>
  </r>
  <r>
    <n v="1816"/>
    <n v="24"/>
    <x v="0"/>
    <x v="0"/>
    <s v="Developer"/>
    <n v="37035"/>
    <n v="11"/>
    <n v="2"/>
    <x v="0"/>
    <s v="Senior"/>
  </r>
  <r>
    <n v="1817"/>
    <n v="36"/>
    <x v="0"/>
    <x v="3"/>
    <s v="Recruiter"/>
    <n v="62535"/>
    <n v="3"/>
    <n v="3"/>
    <x v="0"/>
    <s v="Mid-Level"/>
  </r>
  <r>
    <n v="1818"/>
    <n v="54"/>
    <x v="0"/>
    <x v="4"/>
    <s v="Operations Executive"/>
    <n v="44919"/>
    <n v="13"/>
    <n v="1"/>
    <x v="0"/>
    <s v="Senior"/>
  </r>
  <r>
    <n v="1819"/>
    <n v="52"/>
    <x v="0"/>
    <x v="5"/>
    <s v="SEO Specialist"/>
    <n v="44966"/>
    <n v="9"/>
    <n v="1"/>
    <x v="0"/>
    <s v="Senior"/>
  </r>
  <r>
    <n v="1820"/>
    <n v="30"/>
    <x v="0"/>
    <x v="1"/>
    <s v="Financial Analyst"/>
    <n v="83403"/>
    <n v="20"/>
    <n v="4"/>
    <x v="0"/>
    <s v="Senior"/>
  </r>
  <r>
    <n v="1821"/>
    <n v="50"/>
    <x v="0"/>
    <x v="2"/>
    <s v="Sales Manager"/>
    <n v="99737"/>
    <n v="5"/>
    <n v="3"/>
    <x v="0"/>
    <s v="Mid-Level"/>
  </r>
  <r>
    <n v="1822"/>
    <n v="29"/>
    <x v="1"/>
    <x v="0"/>
    <s v="Engineer"/>
    <n v="102432"/>
    <n v="5"/>
    <n v="3"/>
    <x v="0"/>
    <s v="Mid-Level"/>
  </r>
  <r>
    <n v="1823"/>
    <n v="42"/>
    <x v="1"/>
    <x v="0"/>
    <s v="Engineer"/>
    <n v="29683"/>
    <n v="13"/>
    <n v="3"/>
    <x v="0"/>
    <s v="Senior"/>
  </r>
  <r>
    <n v="1824"/>
    <n v="23"/>
    <x v="1"/>
    <x v="5"/>
    <s v="Marketing Executive"/>
    <n v="80752"/>
    <n v="6"/>
    <n v="1"/>
    <x v="0"/>
    <s v="Mid-Level"/>
  </r>
  <r>
    <n v="1825"/>
    <n v="55"/>
    <x v="1"/>
    <x v="4"/>
    <s v="Operations Executive"/>
    <n v="32705"/>
    <n v="1"/>
    <n v="2"/>
    <x v="0"/>
    <s v="Junior"/>
  </r>
  <r>
    <n v="1826"/>
    <n v="43"/>
    <x v="1"/>
    <x v="5"/>
    <s v="Marketing Executive"/>
    <n v="61361"/>
    <n v="16"/>
    <n v="3"/>
    <x v="0"/>
    <s v="Senior"/>
  </r>
  <r>
    <n v="1827"/>
    <n v="22"/>
    <x v="1"/>
    <x v="5"/>
    <s v="SEO Specialist"/>
    <n v="27180"/>
    <n v="11"/>
    <n v="5"/>
    <x v="0"/>
    <s v="Senior"/>
  </r>
  <r>
    <n v="1828"/>
    <n v="48"/>
    <x v="0"/>
    <x v="5"/>
    <s v="SEO Specialist"/>
    <n v="24447"/>
    <n v="16"/>
    <n v="1"/>
    <x v="0"/>
    <s v="Senior"/>
  </r>
  <r>
    <n v="1829"/>
    <n v="42"/>
    <x v="0"/>
    <x v="4"/>
    <s v="Supervisor"/>
    <n v="105049"/>
    <n v="9"/>
    <n v="4"/>
    <x v="0"/>
    <s v="Senior"/>
  </r>
  <r>
    <n v="1830"/>
    <n v="30"/>
    <x v="1"/>
    <x v="0"/>
    <s v="Analyst"/>
    <n v="106090"/>
    <n v="5"/>
    <n v="3"/>
    <x v="0"/>
    <s v="Mid-Level"/>
  </r>
  <r>
    <n v="1831"/>
    <n v="45"/>
    <x v="0"/>
    <x v="2"/>
    <s v="Sales Manager"/>
    <n v="100640"/>
    <n v="3"/>
    <n v="1"/>
    <x v="1"/>
    <s v="Mid-Level"/>
  </r>
  <r>
    <n v="1832"/>
    <n v="55"/>
    <x v="0"/>
    <x v="0"/>
    <s v="Analyst"/>
    <n v="104104"/>
    <n v="7"/>
    <n v="4"/>
    <x v="0"/>
    <s v="Senior"/>
  </r>
  <r>
    <n v="1833"/>
    <n v="30"/>
    <x v="1"/>
    <x v="3"/>
    <s v="Recruiter"/>
    <n v="108615"/>
    <n v="9"/>
    <n v="1"/>
    <x v="1"/>
    <s v="Senior"/>
  </r>
  <r>
    <n v="1834"/>
    <n v="58"/>
    <x v="1"/>
    <x v="2"/>
    <s v="Sales Executive"/>
    <n v="100963"/>
    <n v="19"/>
    <n v="2"/>
    <x v="0"/>
    <s v="Senior"/>
  </r>
  <r>
    <n v="1835"/>
    <n v="22"/>
    <x v="1"/>
    <x v="3"/>
    <s v="HR Executive"/>
    <n v="74018"/>
    <n v="4"/>
    <n v="1"/>
    <x v="1"/>
    <s v="Mid-Level"/>
  </r>
  <r>
    <n v="1836"/>
    <n v="35"/>
    <x v="0"/>
    <x v="0"/>
    <s v="Engineer"/>
    <n v="30351"/>
    <n v="2"/>
    <n v="4"/>
    <x v="0"/>
    <s v="Junior"/>
  </r>
  <r>
    <n v="1837"/>
    <n v="55"/>
    <x v="0"/>
    <x v="3"/>
    <s v="HR Executive"/>
    <n v="73967"/>
    <n v="18"/>
    <n v="2"/>
    <x v="0"/>
    <s v="Senior"/>
  </r>
  <r>
    <n v="1838"/>
    <n v="25"/>
    <x v="0"/>
    <x v="1"/>
    <s v="Financial Analyst"/>
    <n v="46349"/>
    <n v="16"/>
    <n v="1"/>
    <x v="1"/>
    <s v="Senior"/>
  </r>
  <r>
    <n v="1839"/>
    <n v="46"/>
    <x v="1"/>
    <x v="3"/>
    <s v="HR Executive"/>
    <n v="43234"/>
    <n v="12"/>
    <n v="4"/>
    <x v="0"/>
    <s v="Senior"/>
  </r>
  <r>
    <n v="1840"/>
    <n v="39"/>
    <x v="1"/>
    <x v="4"/>
    <s v="Supervisor"/>
    <n v="99606"/>
    <n v="8"/>
    <n v="3"/>
    <x v="0"/>
    <s v="Senior"/>
  </r>
  <r>
    <n v="1841"/>
    <n v="31"/>
    <x v="1"/>
    <x v="1"/>
    <s v="Financial Analyst"/>
    <n v="96613"/>
    <n v="0"/>
    <n v="3"/>
    <x v="1"/>
    <s v="Junior"/>
  </r>
  <r>
    <n v="1842"/>
    <n v="34"/>
    <x v="1"/>
    <x v="1"/>
    <s v="Accountant"/>
    <n v="63486"/>
    <n v="12"/>
    <n v="5"/>
    <x v="0"/>
    <s v="Senior"/>
  </r>
  <r>
    <n v="1843"/>
    <n v="30"/>
    <x v="0"/>
    <x v="1"/>
    <s v="Accountant"/>
    <n v="92849"/>
    <n v="10"/>
    <n v="1"/>
    <x v="0"/>
    <s v="Senior"/>
  </r>
  <r>
    <n v="1844"/>
    <n v="45"/>
    <x v="1"/>
    <x v="3"/>
    <s v="HR Executive"/>
    <n v="108204"/>
    <n v="4"/>
    <n v="1"/>
    <x v="1"/>
    <s v="Mid-Level"/>
  </r>
  <r>
    <n v="1845"/>
    <n v="43"/>
    <x v="1"/>
    <x v="3"/>
    <s v="Recruiter"/>
    <n v="60282"/>
    <n v="11"/>
    <n v="1"/>
    <x v="0"/>
    <s v="Senior"/>
  </r>
  <r>
    <n v="1846"/>
    <n v="23"/>
    <x v="0"/>
    <x v="0"/>
    <s v="Engineer"/>
    <n v="29960"/>
    <n v="1"/>
    <n v="5"/>
    <x v="1"/>
    <s v="Junior"/>
  </r>
  <r>
    <n v="1847"/>
    <n v="27"/>
    <x v="1"/>
    <x v="0"/>
    <s v="Engineer"/>
    <n v="85512"/>
    <n v="10"/>
    <n v="1"/>
    <x v="0"/>
    <s v="Senior"/>
  </r>
  <r>
    <n v="1848"/>
    <n v="33"/>
    <x v="0"/>
    <x v="0"/>
    <s v="Analyst"/>
    <n v="67216"/>
    <n v="17"/>
    <n v="2"/>
    <x v="0"/>
    <s v="Senior"/>
  </r>
  <r>
    <n v="1849"/>
    <n v="57"/>
    <x v="1"/>
    <x v="3"/>
    <s v="HR Executive"/>
    <n v="86990"/>
    <n v="2"/>
    <n v="3"/>
    <x v="1"/>
    <s v="Junior"/>
  </r>
  <r>
    <n v="1850"/>
    <n v="31"/>
    <x v="0"/>
    <x v="5"/>
    <s v="Marketing Executive"/>
    <n v="54958"/>
    <n v="9"/>
    <n v="5"/>
    <x v="0"/>
    <s v="Senior"/>
  </r>
  <r>
    <n v="1851"/>
    <n v="37"/>
    <x v="1"/>
    <x v="5"/>
    <s v="Marketing Executive"/>
    <n v="42028"/>
    <n v="9"/>
    <n v="4"/>
    <x v="0"/>
    <s v="Senior"/>
  </r>
  <r>
    <n v="1852"/>
    <n v="37"/>
    <x v="1"/>
    <x v="4"/>
    <s v="Operations Executive"/>
    <n v="114891"/>
    <n v="10"/>
    <n v="1"/>
    <x v="0"/>
    <s v="Senior"/>
  </r>
  <r>
    <n v="1853"/>
    <n v="25"/>
    <x v="0"/>
    <x v="0"/>
    <s v="Analyst"/>
    <n v="73130"/>
    <n v="15"/>
    <n v="5"/>
    <x v="0"/>
    <s v="Senior"/>
  </r>
  <r>
    <n v="1854"/>
    <n v="23"/>
    <x v="1"/>
    <x v="1"/>
    <s v="Accountant"/>
    <n v="37172"/>
    <n v="5"/>
    <n v="5"/>
    <x v="0"/>
    <s v="Mid-Level"/>
  </r>
  <r>
    <n v="1855"/>
    <n v="22"/>
    <x v="1"/>
    <x v="1"/>
    <s v="Financial Analyst"/>
    <n v="48787"/>
    <n v="4"/>
    <n v="1"/>
    <x v="0"/>
    <s v="Mid-Level"/>
  </r>
  <r>
    <n v="1856"/>
    <n v="27"/>
    <x v="1"/>
    <x v="4"/>
    <s v="Operations Executive"/>
    <n v="54437"/>
    <n v="15"/>
    <n v="2"/>
    <x v="0"/>
    <s v="Senior"/>
  </r>
  <r>
    <n v="1857"/>
    <n v="50"/>
    <x v="1"/>
    <x v="4"/>
    <s v="Operations Executive"/>
    <n v="83352"/>
    <n v="4"/>
    <n v="3"/>
    <x v="0"/>
    <s v="Mid-Level"/>
  </r>
  <r>
    <n v="1858"/>
    <n v="36"/>
    <x v="1"/>
    <x v="3"/>
    <s v="HR Executive"/>
    <n v="102586"/>
    <n v="5"/>
    <n v="1"/>
    <x v="0"/>
    <s v="Mid-Level"/>
  </r>
  <r>
    <n v="1859"/>
    <n v="51"/>
    <x v="0"/>
    <x v="5"/>
    <s v="SEO Specialist"/>
    <n v="61351"/>
    <n v="1"/>
    <n v="3"/>
    <x v="0"/>
    <s v="Junior"/>
  </r>
  <r>
    <n v="1860"/>
    <n v="26"/>
    <x v="1"/>
    <x v="3"/>
    <s v="HR Executive"/>
    <n v="97988"/>
    <n v="0"/>
    <n v="5"/>
    <x v="0"/>
    <s v="Junior"/>
  </r>
  <r>
    <n v="1861"/>
    <n v="33"/>
    <x v="1"/>
    <x v="0"/>
    <s v="Developer"/>
    <n v="88873"/>
    <n v="10"/>
    <n v="2"/>
    <x v="1"/>
    <s v="Senior"/>
  </r>
  <r>
    <n v="1862"/>
    <n v="26"/>
    <x v="1"/>
    <x v="0"/>
    <s v="Developer"/>
    <n v="87314"/>
    <n v="11"/>
    <n v="4"/>
    <x v="0"/>
    <s v="Senior"/>
  </r>
  <r>
    <n v="1863"/>
    <n v="23"/>
    <x v="1"/>
    <x v="0"/>
    <s v="Developer"/>
    <n v="91204"/>
    <n v="9"/>
    <n v="5"/>
    <x v="0"/>
    <s v="Senior"/>
  </r>
  <r>
    <n v="1864"/>
    <n v="38"/>
    <x v="0"/>
    <x v="1"/>
    <s v="Financial Analyst"/>
    <n v="35837"/>
    <n v="2"/>
    <n v="2"/>
    <x v="1"/>
    <s v="Junior"/>
  </r>
  <r>
    <n v="1865"/>
    <n v="50"/>
    <x v="1"/>
    <x v="4"/>
    <s v="Supervisor"/>
    <n v="58227"/>
    <n v="3"/>
    <n v="3"/>
    <x v="0"/>
    <s v="Mid-Level"/>
  </r>
  <r>
    <n v="1866"/>
    <n v="58"/>
    <x v="0"/>
    <x v="3"/>
    <s v="Recruiter"/>
    <n v="58287"/>
    <n v="9"/>
    <n v="3"/>
    <x v="0"/>
    <s v="Senior"/>
  </r>
  <r>
    <n v="1867"/>
    <n v="28"/>
    <x v="0"/>
    <x v="3"/>
    <s v="HR Executive"/>
    <n v="36560"/>
    <n v="20"/>
    <n v="5"/>
    <x v="1"/>
    <s v="Senior"/>
  </r>
  <r>
    <n v="1868"/>
    <n v="31"/>
    <x v="1"/>
    <x v="0"/>
    <s v="Engineer"/>
    <n v="115781"/>
    <n v="18"/>
    <n v="1"/>
    <x v="0"/>
    <s v="Senior"/>
  </r>
  <r>
    <n v="1869"/>
    <n v="47"/>
    <x v="1"/>
    <x v="5"/>
    <s v="Marketing Executive"/>
    <n v="22473"/>
    <n v="16"/>
    <n v="5"/>
    <x v="0"/>
    <s v="Senior"/>
  </r>
  <r>
    <n v="1870"/>
    <n v="50"/>
    <x v="1"/>
    <x v="2"/>
    <s v="Sales Manager"/>
    <n v="72256"/>
    <n v="2"/>
    <n v="4"/>
    <x v="0"/>
    <s v="Junior"/>
  </r>
  <r>
    <n v="1871"/>
    <n v="49"/>
    <x v="0"/>
    <x v="3"/>
    <s v="Recruiter"/>
    <n v="109584"/>
    <n v="10"/>
    <n v="1"/>
    <x v="0"/>
    <s v="Senior"/>
  </r>
  <r>
    <n v="1872"/>
    <n v="30"/>
    <x v="0"/>
    <x v="4"/>
    <s v="Operations Executive"/>
    <n v="113664"/>
    <n v="16"/>
    <n v="2"/>
    <x v="0"/>
    <s v="Senior"/>
  </r>
  <r>
    <n v="1873"/>
    <n v="55"/>
    <x v="1"/>
    <x v="5"/>
    <s v="SEO Specialist"/>
    <n v="80823"/>
    <n v="8"/>
    <n v="1"/>
    <x v="0"/>
    <s v="Senior"/>
  </r>
  <r>
    <n v="1874"/>
    <n v="25"/>
    <x v="0"/>
    <x v="2"/>
    <s v="Sales Executive"/>
    <n v="106573"/>
    <n v="1"/>
    <n v="3"/>
    <x v="0"/>
    <s v="Junior"/>
  </r>
  <r>
    <n v="1875"/>
    <n v="49"/>
    <x v="1"/>
    <x v="2"/>
    <s v="Sales Executive"/>
    <n v="55871"/>
    <n v="13"/>
    <n v="3"/>
    <x v="0"/>
    <s v="Senior"/>
  </r>
  <r>
    <n v="1876"/>
    <n v="44"/>
    <x v="0"/>
    <x v="3"/>
    <s v="Recruiter"/>
    <n v="27810"/>
    <n v="14"/>
    <n v="4"/>
    <x v="0"/>
    <s v="Senior"/>
  </r>
  <r>
    <n v="1877"/>
    <n v="52"/>
    <x v="1"/>
    <x v="0"/>
    <s v="Developer"/>
    <n v="54947"/>
    <n v="2"/>
    <n v="3"/>
    <x v="0"/>
    <s v="Junior"/>
  </r>
  <r>
    <n v="1878"/>
    <n v="50"/>
    <x v="0"/>
    <x v="0"/>
    <s v="Analyst"/>
    <n v="102671"/>
    <n v="17"/>
    <n v="1"/>
    <x v="1"/>
    <s v="Senior"/>
  </r>
  <r>
    <n v="1879"/>
    <n v="37"/>
    <x v="1"/>
    <x v="5"/>
    <s v="SEO Specialist"/>
    <n v="44440"/>
    <n v="0"/>
    <n v="1"/>
    <x v="0"/>
    <s v="Junior"/>
  </r>
  <r>
    <n v="1880"/>
    <n v="45"/>
    <x v="1"/>
    <x v="0"/>
    <s v="Analyst"/>
    <n v="37516"/>
    <n v="9"/>
    <n v="5"/>
    <x v="0"/>
    <s v="Senior"/>
  </r>
  <r>
    <n v="1881"/>
    <n v="57"/>
    <x v="1"/>
    <x v="4"/>
    <s v="Operations Executive"/>
    <n v="55979"/>
    <n v="8"/>
    <n v="4"/>
    <x v="0"/>
    <s v="Senior"/>
  </r>
  <r>
    <n v="1882"/>
    <n v="28"/>
    <x v="0"/>
    <x v="2"/>
    <s v="Sales Executive"/>
    <n v="53499"/>
    <n v="2"/>
    <n v="1"/>
    <x v="0"/>
    <s v="Junior"/>
  </r>
  <r>
    <n v="1883"/>
    <n v="30"/>
    <x v="0"/>
    <x v="1"/>
    <s v="Financial Analyst"/>
    <n v="43527"/>
    <n v="15"/>
    <n v="2"/>
    <x v="0"/>
    <s v="Senior"/>
  </r>
  <r>
    <n v="1884"/>
    <n v="35"/>
    <x v="0"/>
    <x v="0"/>
    <s v="Developer"/>
    <n v="67537"/>
    <n v="20"/>
    <n v="2"/>
    <x v="1"/>
    <s v="Senior"/>
  </r>
  <r>
    <n v="1885"/>
    <n v="24"/>
    <x v="0"/>
    <x v="2"/>
    <s v="Sales Manager"/>
    <n v="99137"/>
    <n v="13"/>
    <n v="1"/>
    <x v="0"/>
    <s v="Senior"/>
  </r>
  <r>
    <n v="1886"/>
    <n v="53"/>
    <x v="0"/>
    <x v="2"/>
    <s v="Sales Executive"/>
    <n v="91180"/>
    <n v="1"/>
    <n v="4"/>
    <x v="0"/>
    <s v="Junior"/>
  </r>
  <r>
    <n v="1887"/>
    <n v="57"/>
    <x v="1"/>
    <x v="3"/>
    <s v="Recruiter"/>
    <n v="108622"/>
    <n v="12"/>
    <n v="5"/>
    <x v="0"/>
    <s v="Senior"/>
  </r>
  <r>
    <n v="1888"/>
    <n v="34"/>
    <x v="0"/>
    <x v="3"/>
    <s v="HR Executive"/>
    <n v="103500"/>
    <n v="1"/>
    <n v="1"/>
    <x v="0"/>
    <s v="Junior"/>
  </r>
  <r>
    <n v="1889"/>
    <n v="38"/>
    <x v="0"/>
    <x v="5"/>
    <s v="Marketing Executive"/>
    <n v="28344"/>
    <n v="14"/>
    <n v="5"/>
    <x v="0"/>
    <s v="Senior"/>
  </r>
  <r>
    <n v="1890"/>
    <n v="42"/>
    <x v="0"/>
    <x v="5"/>
    <s v="Marketing Executive"/>
    <n v="118254"/>
    <n v="14"/>
    <n v="4"/>
    <x v="1"/>
    <s v="Senior"/>
  </r>
  <r>
    <n v="1891"/>
    <n v="22"/>
    <x v="0"/>
    <x v="1"/>
    <s v="Financial Analyst"/>
    <n v="86754"/>
    <n v="18"/>
    <n v="3"/>
    <x v="0"/>
    <s v="Senior"/>
  </r>
  <r>
    <n v="1892"/>
    <n v="54"/>
    <x v="1"/>
    <x v="5"/>
    <s v="SEO Specialist"/>
    <n v="119462"/>
    <n v="11"/>
    <n v="4"/>
    <x v="0"/>
    <s v="Senior"/>
  </r>
  <r>
    <n v="1893"/>
    <n v="29"/>
    <x v="1"/>
    <x v="0"/>
    <s v="Engineer"/>
    <n v="90069"/>
    <n v="2"/>
    <n v="1"/>
    <x v="0"/>
    <s v="Junior"/>
  </r>
  <r>
    <n v="1894"/>
    <n v="49"/>
    <x v="0"/>
    <x v="2"/>
    <s v="Sales Executive"/>
    <n v="106821"/>
    <n v="2"/>
    <n v="1"/>
    <x v="0"/>
    <s v="Junior"/>
  </r>
  <r>
    <n v="1895"/>
    <n v="33"/>
    <x v="0"/>
    <x v="5"/>
    <s v="Marketing Executive"/>
    <n v="34394"/>
    <n v="7"/>
    <n v="3"/>
    <x v="0"/>
    <s v="Senior"/>
  </r>
  <r>
    <n v="1896"/>
    <n v="50"/>
    <x v="1"/>
    <x v="0"/>
    <s v="Analyst"/>
    <n v="49389"/>
    <n v="2"/>
    <n v="4"/>
    <x v="0"/>
    <s v="Junior"/>
  </r>
  <r>
    <n v="1897"/>
    <n v="48"/>
    <x v="0"/>
    <x v="0"/>
    <s v="Analyst"/>
    <n v="99218"/>
    <n v="1"/>
    <n v="4"/>
    <x v="0"/>
    <s v="Junior"/>
  </r>
  <r>
    <n v="1898"/>
    <n v="41"/>
    <x v="0"/>
    <x v="0"/>
    <s v="Developer"/>
    <n v="80652"/>
    <n v="5"/>
    <n v="1"/>
    <x v="0"/>
    <s v="Mid-Level"/>
  </r>
  <r>
    <n v="1899"/>
    <n v="47"/>
    <x v="0"/>
    <x v="4"/>
    <s v="Supervisor"/>
    <n v="86679"/>
    <n v="13"/>
    <n v="3"/>
    <x v="0"/>
    <s v="Senior"/>
  </r>
  <r>
    <n v="1900"/>
    <n v="50"/>
    <x v="0"/>
    <x v="4"/>
    <s v="Supervisor"/>
    <n v="62688"/>
    <n v="10"/>
    <n v="5"/>
    <x v="1"/>
    <s v="Senior"/>
  </r>
  <r>
    <n v="1901"/>
    <n v="26"/>
    <x v="1"/>
    <x v="3"/>
    <s v="Recruiter"/>
    <n v="106815"/>
    <n v="19"/>
    <n v="3"/>
    <x v="0"/>
    <s v="Senior"/>
  </r>
  <r>
    <n v="1902"/>
    <n v="35"/>
    <x v="0"/>
    <x v="0"/>
    <s v="Developer"/>
    <n v="31078"/>
    <n v="10"/>
    <n v="5"/>
    <x v="0"/>
    <s v="Senior"/>
  </r>
  <r>
    <n v="1903"/>
    <n v="40"/>
    <x v="0"/>
    <x v="4"/>
    <s v="Supervisor"/>
    <n v="81369"/>
    <n v="12"/>
    <n v="2"/>
    <x v="1"/>
    <s v="Senior"/>
  </r>
  <r>
    <n v="1904"/>
    <n v="50"/>
    <x v="0"/>
    <x v="2"/>
    <s v="Sales Executive"/>
    <n v="59748"/>
    <n v="14"/>
    <n v="3"/>
    <x v="0"/>
    <s v="Senior"/>
  </r>
  <r>
    <n v="1905"/>
    <n v="23"/>
    <x v="0"/>
    <x v="2"/>
    <s v="Sales Executive"/>
    <n v="28834"/>
    <n v="2"/>
    <n v="4"/>
    <x v="0"/>
    <s v="Junior"/>
  </r>
  <r>
    <n v="1906"/>
    <n v="27"/>
    <x v="1"/>
    <x v="3"/>
    <s v="HR Executive"/>
    <n v="64057"/>
    <n v="5"/>
    <n v="5"/>
    <x v="0"/>
    <s v="Mid-Level"/>
  </r>
  <r>
    <n v="1907"/>
    <n v="37"/>
    <x v="1"/>
    <x v="3"/>
    <s v="HR Executive"/>
    <n v="88242"/>
    <n v="4"/>
    <n v="4"/>
    <x v="0"/>
    <s v="Mid-Level"/>
  </r>
  <r>
    <n v="1908"/>
    <n v="26"/>
    <x v="1"/>
    <x v="3"/>
    <s v="Recruiter"/>
    <n v="64426"/>
    <n v="4"/>
    <n v="1"/>
    <x v="0"/>
    <s v="Mid-Level"/>
  </r>
  <r>
    <n v="1909"/>
    <n v="58"/>
    <x v="0"/>
    <x v="1"/>
    <s v="Accountant"/>
    <n v="47752"/>
    <n v="0"/>
    <n v="5"/>
    <x v="0"/>
    <s v="Junior"/>
  </r>
  <r>
    <n v="1910"/>
    <n v="57"/>
    <x v="0"/>
    <x v="2"/>
    <s v="Sales Executive"/>
    <n v="58086"/>
    <n v="7"/>
    <n v="3"/>
    <x v="0"/>
    <s v="Senior"/>
  </r>
  <r>
    <n v="1911"/>
    <n v="36"/>
    <x v="0"/>
    <x v="0"/>
    <s v="Engineer"/>
    <n v="118199"/>
    <n v="10"/>
    <n v="4"/>
    <x v="1"/>
    <s v="Senior"/>
  </r>
  <r>
    <n v="1912"/>
    <n v="45"/>
    <x v="0"/>
    <x v="5"/>
    <s v="Marketing Executive"/>
    <n v="67341"/>
    <n v="10"/>
    <n v="4"/>
    <x v="1"/>
    <s v="Senior"/>
  </r>
  <r>
    <n v="1913"/>
    <n v="39"/>
    <x v="1"/>
    <x v="3"/>
    <s v="Recruiter"/>
    <n v="35039"/>
    <n v="3"/>
    <n v="4"/>
    <x v="0"/>
    <s v="Mid-Level"/>
  </r>
  <r>
    <n v="1914"/>
    <n v="49"/>
    <x v="1"/>
    <x v="5"/>
    <s v="SEO Specialist"/>
    <n v="108647"/>
    <n v="9"/>
    <n v="5"/>
    <x v="0"/>
    <s v="Senior"/>
  </r>
  <r>
    <n v="1915"/>
    <n v="24"/>
    <x v="1"/>
    <x v="4"/>
    <s v="Supervisor"/>
    <n v="63811"/>
    <n v="15"/>
    <n v="5"/>
    <x v="0"/>
    <s v="Senior"/>
  </r>
  <r>
    <n v="1916"/>
    <n v="32"/>
    <x v="0"/>
    <x v="0"/>
    <s v="Developer"/>
    <n v="101034"/>
    <n v="17"/>
    <n v="3"/>
    <x v="0"/>
    <s v="Senior"/>
  </r>
  <r>
    <n v="1917"/>
    <n v="25"/>
    <x v="1"/>
    <x v="5"/>
    <s v="SEO Specialist"/>
    <n v="56935"/>
    <n v="10"/>
    <n v="3"/>
    <x v="0"/>
    <s v="Senior"/>
  </r>
  <r>
    <n v="1918"/>
    <n v="33"/>
    <x v="0"/>
    <x v="0"/>
    <s v="Analyst"/>
    <n v="47618"/>
    <n v="17"/>
    <n v="3"/>
    <x v="0"/>
    <s v="Senior"/>
  </r>
  <r>
    <n v="1919"/>
    <n v="54"/>
    <x v="1"/>
    <x v="2"/>
    <s v="Sales Manager"/>
    <n v="39407"/>
    <n v="9"/>
    <n v="2"/>
    <x v="0"/>
    <s v="Senior"/>
  </r>
  <r>
    <n v="1920"/>
    <n v="55"/>
    <x v="0"/>
    <x v="1"/>
    <s v="Financial Analyst"/>
    <n v="96955"/>
    <n v="10"/>
    <n v="4"/>
    <x v="0"/>
    <s v="Senior"/>
  </r>
  <r>
    <n v="1921"/>
    <n v="48"/>
    <x v="1"/>
    <x v="4"/>
    <s v="Supervisor"/>
    <n v="76950"/>
    <n v="8"/>
    <n v="2"/>
    <x v="0"/>
    <s v="Senior"/>
  </r>
  <r>
    <n v="1922"/>
    <n v="47"/>
    <x v="0"/>
    <x v="0"/>
    <s v="Developer"/>
    <n v="46215"/>
    <n v="1"/>
    <n v="2"/>
    <x v="0"/>
    <s v="Junior"/>
  </r>
  <r>
    <n v="1923"/>
    <n v="58"/>
    <x v="1"/>
    <x v="5"/>
    <s v="Marketing Executive"/>
    <n v="37662"/>
    <n v="13"/>
    <n v="4"/>
    <x v="0"/>
    <s v="Senior"/>
  </r>
  <r>
    <n v="1924"/>
    <n v="34"/>
    <x v="0"/>
    <x v="5"/>
    <s v="Marketing Executive"/>
    <n v="25741"/>
    <n v="15"/>
    <n v="3"/>
    <x v="0"/>
    <s v="Senior"/>
  </r>
  <r>
    <n v="1925"/>
    <n v="58"/>
    <x v="1"/>
    <x v="0"/>
    <s v="Engineer"/>
    <n v="53437"/>
    <n v="10"/>
    <n v="3"/>
    <x v="0"/>
    <s v="Senior"/>
  </r>
  <r>
    <n v="1926"/>
    <n v="33"/>
    <x v="1"/>
    <x v="5"/>
    <s v="SEO Specialist"/>
    <n v="61299"/>
    <n v="18"/>
    <n v="5"/>
    <x v="0"/>
    <s v="Senior"/>
  </r>
  <r>
    <n v="1927"/>
    <n v="37"/>
    <x v="1"/>
    <x v="5"/>
    <s v="SEO Specialist"/>
    <n v="39306"/>
    <n v="11"/>
    <n v="2"/>
    <x v="0"/>
    <s v="Senior"/>
  </r>
  <r>
    <n v="1928"/>
    <n v="36"/>
    <x v="1"/>
    <x v="4"/>
    <s v="Operations Executive"/>
    <n v="83763"/>
    <n v="7"/>
    <n v="3"/>
    <x v="0"/>
    <s v="Senior"/>
  </r>
  <r>
    <n v="1929"/>
    <n v="40"/>
    <x v="0"/>
    <x v="3"/>
    <s v="HR Executive"/>
    <n v="65602"/>
    <n v="20"/>
    <n v="5"/>
    <x v="0"/>
    <s v="Senior"/>
  </r>
  <r>
    <n v="1930"/>
    <n v="26"/>
    <x v="0"/>
    <x v="0"/>
    <s v="Analyst"/>
    <n v="68648"/>
    <n v="3"/>
    <n v="1"/>
    <x v="0"/>
    <s v="Mid-Level"/>
  </r>
  <r>
    <n v="1931"/>
    <n v="50"/>
    <x v="0"/>
    <x v="0"/>
    <s v="Developer"/>
    <n v="36612"/>
    <n v="8"/>
    <n v="1"/>
    <x v="0"/>
    <s v="Senior"/>
  </r>
  <r>
    <n v="1932"/>
    <n v="57"/>
    <x v="0"/>
    <x v="1"/>
    <s v="Financial Analyst"/>
    <n v="83841"/>
    <n v="11"/>
    <n v="1"/>
    <x v="0"/>
    <s v="Senior"/>
  </r>
  <r>
    <n v="1933"/>
    <n v="46"/>
    <x v="1"/>
    <x v="3"/>
    <s v="Recruiter"/>
    <n v="20692"/>
    <n v="17"/>
    <n v="1"/>
    <x v="0"/>
    <s v="Senior"/>
  </r>
  <r>
    <n v="1934"/>
    <n v="49"/>
    <x v="1"/>
    <x v="2"/>
    <s v="Sales Manager"/>
    <n v="71030"/>
    <n v="6"/>
    <n v="2"/>
    <x v="0"/>
    <s v="Mid-Level"/>
  </r>
  <r>
    <n v="1935"/>
    <n v="29"/>
    <x v="1"/>
    <x v="1"/>
    <s v="Financial Analyst"/>
    <n v="37279"/>
    <n v="10"/>
    <n v="3"/>
    <x v="0"/>
    <s v="Senior"/>
  </r>
  <r>
    <n v="1936"/>
    <n v="54"/>
    <x v="0"/>
    <x v="4"/>
    <s v="Operations Executive"/>
    <n v="69570"/>
    <n v="20"/>
    <n v="4"/>
    <x v="1"/>
    <s v="Senior"/>
  </r>
  <r>
    <n v="1937"/>
    <n v="48"/>
    <x v="1"/>
    <x v="3"/>
    <s v="HR Executive"/>
    <n v="45298"/>
    <n v="4"/>
    <n v="4"/>
    <x v="0"/>
    <s v="Mid-Level"/>
  </r>
  <r>
    <n v="1938"/>
    <n v="57"/>
    <x v="1"/>
    <x v="4"/>
    <s v="Supervisor"/>
    <n v="51577"/>
    <n v="2"/>
    <n v="1"/>
    <x v="1"/>
    <s v="Junior"/>
  </r>
  <r>
    <n v="1939"/>
    <n v="41"/>
    <x v="1"/>
    <x v="2"/>
    <s v="Sales Executive"/>
    <n v="60535"/>
    <n v="11"/>
    <n v="1"/>
    <x v="0"/>
    <s v="Senior"/>
  </r>
  <r>
    <n v="1940"/>
    <n v="56"/>
    <x v="0"/>
    <x v="1"/>
    <s v="Accountant"/>
    <n v="56117"/>
    <n v="17"/>
    <n v="1"/>
    <x v="0"/>
    <s v="Senior"/>
  </r>
  <r>
    <n v="1941"/>
    <n v="38"/>
    <x v="1"/>
    <x v="3"/>
    <s v="HR Executive"/>
    <n v="21651"/>
    <n v="13"/>
    <n v="2"/>
    <x v="0"/>
    <s v="Senior"/>
  </r>
  <r>
    <n v="1942"/>
    <n v="25"/>
    <x v="0"/>
    <x v="2"/>
    <s v="Sales Manager"/>
    <n v="81383"/>
    <n v="14"/>
    <n v="4"/>
    <x v="0"/>
    <s v="Senior"/>
  </r>
  <r>
    <n v="1943"/>
    <n v="57"/>
    <x v="1"/>
    <x v="4"/>
    <s v="Supervisor"/>
    <n v="113810"/>
    <n v="6"/>
    <n v="3"/>
    <x v="0"/>
    <s v="Mid-Level"/>
  </r>
  <r>
    <n v="1944"/>
    <n v="32"/>
    <x v="0"/>
    <x v="3"/>
    <s v="HR Executive"/>
    <n v="46397"/>
    <n v="9"/>
    <n v="4"/>
    <x v="0"/>
    <s v="Senior"/>
  </r>
  <r>
    <n v="1945"/>
    <n v="46"/>
    <x v="0"/>
    <x v="2"/>
    <s v="Sales Executive"/>
    <n v="58654"/>
    <n v="8"/>
    <n v="5"/>
    <x v="0"/>
    <s v="Senior"/>
  </r>
  <r>
    <n v="1946"/>
    <n v="45"/>
    <x v="0"/>
    <x v="5"/>
    <s v="SEO Specialist"/>
    <n v="64187"/>
    <n v="17"/>
    <n v="2"/>
    <x v="0"/>
    <s v="Senior"/>
  </r>
  <r>
    <n v="1947"/>
    <n v="49"/>
    <x v="1"/>
    <x v="4"/>
    <s v="Supervisor"/>
    <n v="26523"/>
    <n v="5"/>
    <n v="2"/>
    <x v="0"/>
    <s v="Mid-Level"/>
  </r>
  <r>
    <n v="1948"/>
    <n v="56"/>
    <x v="1"/>
    <x v="3"/>
    <s v="HR Executive"/>
    <n v="57537"/>
    <n v="16"/>
    <n v="3"/>
    <x v="0"/>
    <s v="Senior"/>
  </r>
  <r>
    <n v="1949"/>
    <n v="49"/>
    <x v="0"/>
    <x v="0"/>
    <s v="Engineer"/>
    <n v="34397"/>
    <n v="13"/>
    <n v="4"/>
    <x v="0"/>
    <s v="Senior"/>
  </r>
  <r>
    <n v="1950"/>
    <n v="32"/>
    <x v="0"/>
    <x v="5"/>
    <s v="Marketing Executive"/>
    <n v="84077"/>
    <n v="1"/>
    <n v="1"/>
    <x v="1"/>
    <s v="Junior"/>
  </r>
  <r>
    <n v="1951"/>
    <n v="26"/>
    <x v="0"/>
    <x v="1"/>
    <s v="Financial Analyst"/>
    <n v="67650"/>
    <n v="0"/>
    <n v="4"/>
    <x v="0"/>
    <s v="Junior"/>
  </r>
  <r>
    <n v="1952"/>
    <n v="39"/>
    <x v="1"/>
    <x v="1"/>
    <s v="Accountant"/>
    <n v="102453"/>
    <n v="0"/>
    <n v="5"/>
    <x v="1"/>
    <s v="Junior"/>
  </r>
  <r>
    <n v="1953"/>
    <n v="46"/>
    <x v="1"/>
    <x v="1"/>
    <s v="Accountant"/>
    <n v="115947"/>
    <n v="13"/>
    <n v="4"/>
    <x v="1"/>
    <s v="Senior"/>
  </r>
  <r>
    <n v="1954"/>
    <n v="46"/>
    <x v="1"/>
    <x v="3"/>
    <s v="HR Executive"/>
    <n v="57009"/>
    <n v="6"/>
    <n v="1"/>
    <x v="0"/>
    <s v="Mid-Level"/>
  </r>
  <r>
    <n v="1955"/>
    <n v="56"/>
    <x v="0"/>
    <x v="0"/>
    <s v="Developer"/>
    <n v="107981"/>
    <n v="8"/>
    <n v="4"/>
    <x v="0"/>
    <s v="Senior"/>
  </r>
  <r>
    <n v="1956"/>
    <n v="28"/>
    <x v="1"/>
    <x v="5"/>
    <s v="SEO Specialist"/>
    <n v="68958"/>
    <n v="7"/>
    <n v="2"/>
    <x v="0"/>
    <s v="Senior"/>
  </r>
  <r>
    <n v="1957"/>
    <n v="29"/>
    <x v="0"/>
    <x v="4"/>
    <s v="Operations Executive"/>
    <n v="23108"/>
    <n v="15"/>
    <n v="1"/>
    <x v="0"/>
    <s v="Senior"/>
  </r>
  <r>
    <n v="1958"/>
    <n v="53"/>
    <x v="1"/>
    <x v="3"/>
    <s v="HR Executive"/>
    <n v="100749"/>
    <n v="0"/>
    <n v="5"/>
    <x v="0"/>
    <s v="Junior"/>
  </r>
  <r>
    <n v="1959"/>
    <n v="43"/>
    <x v="1"/>
    <x v="4"/>
    <s v="Supervisor"/>
    <n v="93361"/>
    <n v="4"/>
    <n v="3"/>
    <x v="0"/>
    <s v="Mid-Level"/>
  </r>
  <r>
    <n v="1960"/>
    <n v="53"/>
    <x v="1"/>
    <x v="1"/>
    <s v="Financial Analyst"/>
    <n v="106056"/>
    <n v="13"/>
    <n v="1"/>
    <x v="1"/>
    <s v="Senior"/>
  </r>
  <r>
    <n v="1961"/>
    <n v="49"/>
    <x v="0"/>
    <x v="0"/>
    <s v="Engineer"/>
    <n v="36624"/>
    <n v="12"/>
    <n v="3"/>
    <x v="0"/>
    <s v="Senior"/>
  </r>
  <r>
    <n v="1962"/>
    <n v="40"/>
    <x v="0"/>
    <x v="0"/>
    <s v="Analyst"/>
    <n v="28719"/>
    <n v="2"/>
    <n v="4"/>
    <x v="0"/>
    <s v="Junior"/>
  </r>
  <r>
    <n v="1963"/>
    <n v="31"/>
    <x v="1"/>
    <x v="1"/>
    <s v="Financial Analyst"/>
    <n v="25672"/>
    <n v="1"/>
    <n v="5"/>
    <x v="0"/>
    <s v="Junior"/>
  </r>
  <r>
    <n v="1964"/>
    <n v="25"/>
    <x v="0"/>
    <x v="4"/>
    <s v="Supervisor"/>
    <n v="116820"/>
    <n v="17"/>
    <n v="5"/>
    <x v="0"/>
    <s v="Senior"/>
  </r>
  <r>
    <n v="1965"/>
    <n v="32"/>
    <x v="1"/>
    <x v="1"/>
    <s v="Financial Analyst"/>
    <n v="36000"/>
    <n v="2"/>
    <n v="4"/>
    <x v="0"/>
    <s v="Junior"/>
  </r>
  <r>
    <n v="1966"/>
    <n v="43"/>
    <x v="0"/>
    <x v="2"/>
    <s v="Sales Executive"/>
    <n v="41587"/>
    <n v="11"/>
    <n v="1"/>
    <x v="0"/>
    <s v="Senior"/>
  </r>
  <r>
    <n v="1967"/>
    <n v="23"/>
    <x v="1"/>
    <x v="3"/>
    <s v="HR Executive"/>
    <n v="72698"/>
    <n v="10"/>
    <n v="5"/>
    <x v="1"/>
    <s v="Senior"/>
  </r>
  <r>
    <n v="1968"/>
    <n v="22"/>
    <x v="0"/>
    <x v="1"/>
    <s v="Financial Analyst"/>
    <n v="110011"/>
    <n v="17"/>
    <n v="3"/>
    <x v="0"/>
    <s v="Senior"/>
  </r>
  <r>
    <n v="1969"/>
    <n v="48"/>
    <x v="0"/>
    <x v="3"/>
    <s v="Recruiter"/>
    <n v="69615"/>
    <n v="12"/>
    <n v="2"/>
    <x v="1"/>
    <s v="Senior"/>
  </r>
  <r>
    <n v="1970"/>
    <n v="28"/>
    <x v="0"/>
    <x v="1"/>
    <s v="Financial Analyst"/>
    <n v="83801"/>
    <n v="18"/>
    <n v="2"/>
    <x v="0"/>
    <s v="Senior"/>
  </r>
  <r>
    <n v="1971"/>
    <n v="23"/>
    <x v="1"/>
    <x v="3"/>
    <s v="HR Executive"/>
    <n v="83564"/>
    <n v="19"/>
    <n v="1"/>
    <x v="0"/>
    <s v="Senior"/>
  </r>
  <r>
    <n v="1972"/>
    <n v="56"/>
    <x v="1"/>
    <x v="1"/>
    <s v="Accountant"/>
    <n v="53657"/>
    <n v="19"/>
    <n v="3"/>
    <x v="1"/>
    <s v="Senior"/>
  </r>
  <r>
    <n v="1973"/>
    <n v="38"/>
    <x v="1"/>
    <x v="4"/>
    <s v="Supervisor"/>
    <n v="82221"/>
    <n v="16"/>
    <n v="5"/>
    <x v="1"/>
    <s v="Senior"/>
  </r>
  <r>
    <n v="1974"/>
    <n v="45"/>
    <x v="1"/>
    <x v="0"/>
    <s v="Engineer"/>
    <n v="65135"/>
    <n v="12"/>
    <n v="2"/>
    <x v="1"/>
    <s v="Senior"/>
  </r>
  <r>
    <n v="1975"/>
    <n v="40"/>
    <x v="0"/>
    <x v="0"/>
    <s v="Engineer"/>
    <n v="117975"/>
    <n v="15"/>
    <n v="4"/>
    <x v="0"/>
    <s v="Senior"/>
  </r>
  <r>
    <n v="1976"/>
    <n v="28"/>
    <x v="0"/>
    <x v="4"/>
    <s v="Operations Executive"/>
    <n v="92112"/>
    <n v="13"/>
    <n v="3"/>
    <x v="0"/>
    <s v="Senior"/>
  </r>
  <r>
    <n v="1977"/>
    <n v="34"/>
    <x v="0"/>
    <x v="2"/>
    <s v="Sales Executive"/>
    <n v="30609"/>
    <n v="5"/>
    <n v="5"/>
    <x v="0"/>
    <s v="Mid-Level"/>
  </r>
  <r>
    <n v="1978"/>
    <n v="38"/>
    <x v="1"/>
    <x v="1"/>
    <s v="Accountant"/>
    <n v="106635"/>
    <n v="9"/>
    <n v="2"/>
    <x v="0"/>
    <s v="Senior"/>
  </r>
  <r>
    <n v="1979"/>
    <n v="58"/>
    <x v="1"/>
    <x v="3"/>
    <s v="Recruiter"/>
    <n v="107842"/>
    <n v="4"/>
    <n v="2"/>
    <x v="0"/>
    <s v="Mid-Level"/>
  </r>
  <r>
    <n v="1980"/>
    <n v="34"/>
    <x v="1"/>
    <x v="0"/>
    <s v="Engineer"/>
    <n v="117222"/>
    <n v="5"/>
    <n v="5"/>
    <x v="1"/>
    <s v="Mid-Level"/>
  </r>
  <r>
    <n v="1981"/>
    <n v="42"/>
    <x v="0"/>
    <x v="0"/>
    <s v="Engineer"/>
    <n v="91771"/>
    <n v="15"/>
    <n v="4"/>
    <x v="1"/>
    <s v="Senior"/>
  </r>
  <r>
    <n v="1982"/>
    <n v="48"/>
    <x v="1"/>
    <x v="0"/>
    <s v="Analyst"/>
    <n v="46843"/>
    <n v="17"/>
    <n v="3"/>
    <x v="0"/>
    <s v="Senior"/>
  </r>
  <r>
    <n v="1983"/>
    <n v="29"/>
    <x v="1"/>
    <x v="4"/>
    <s v="Supervisor"/>
    <n v="105126"/>
    <n v="12"/>
    <n v="3"/>
    <x v="0"/>
    <s v="Senior"/>
  </r>
  <r>
    <n v="1984"/>
    <n v="38"/>
    <x v="1"/>
    <x v="4"/>
    <s v="Supervisor"/>
    <n v="28827"/>
    <n v="1"/>
    <n v="3"/>
    <x v="0"/>
    <s v="Junior"/>
  </r>
  <r>
    <n v="1985"/>
    <n v="32"/>
    <x v="1"/>
    <x v="2"/>
    <s v="Sales Executive"/>
    <n v="62124"/>
    <n v="4"/>
    <n v="1"/>
    <x v="0"/>
    <s v="Mid-Level"/>
  </r>
  <r>
    <n v="1986"/>
    <n v="44"/>
    <x v="1"/>
    <x v="4"/>
    <s v="Operations Executive"/>
    <n v="93394"/>
    <n v="11"/>
    <n v="5"/>
    <x v="0"/>
    <s v="Senior"/>
  </r>
  <r>
    <n v="1987"/>
    <n v="37"/>
    <x v="0"/>
    <x v="3"/>
    <s v="HR Executive"/>
    <n v="100401"/>
    <n v="16"/>
    <n v="5"/>
    <x v="0"/>
    <s v="Senior"/>
  </r>
  <r>
    <n v="1988"/>
    <n v="51"/>
    <x v="0"/>
    <x v="3"/>
    <s v="HR Executive"/>
    <n v="48041"/>
    <n v="10"/>
    <n v="1"/>
    <x v="0"/>
    <s v="Senior"/>
  </r>
  <r>
    <n v="1989"/>
    <n v="46"/>
    <x v="0"/>
    <x v="3"/>
    <s v="Recruiter"/>
    <n v="71902"/>
    <n v="8"/>
    <n v="4"/>
    <x v="0"/>
    <s v="Senior"/>
  </r>
  <r>
    <n v="1990"/>
    <n v="29"/>
    <x v="0"/>
    <x v="4"/>
    <s v="Supervisor"/>
    <n v="26404"/>
    <n v="5"/>
    <n v="1"/>
    <x v="0"/>
    <s v="Mid-Level"/>
  </r>
  <r>
    <n v="1991"/>
    <n v="25"/>
    <x v="1"/>
    <x v="0"/>
    <s v="Developer"/>
    <n v="46099"/>
    <n v="12"/>
    <n v="2"/>
    <x v="0"/>
    <s v="Senior"/>
  </r>
  <r>
    <n v="1992"/>
    <n v="22"/>
    <x v="1"/>
    <x v="0"/>
    <s v="Engineer"/>
    <n v="81654"/>
    <n v="15"/>
    <n v="1"/>
    <x v="0"/>
    <s v="Senior"/>
  </r>
  <r>
    <n v="1993"/>
    <n v="57"/>
    <x v="0"/>
    <x v="5"/>
    <s v="Marketing Executive"/>
    <n v="54838"/>
    <n v="12"/>
    <n v="3"/>
    <x v="0"/>
    <s v="Senior"/>
  </r>
  <r>
    <n v="1994"/>
    <n v="57"/>
    <x v="0"/>
    <x v="1"/>
    <s v="Accountant"/>
    <n v="24026"/>
    <n v="4"/>
    <n v="1"/>
    <x v="0"/>
    <s v="Mid-Level"/>
  </r>
  <r>
    <n v="1995"/>
    <n v="50"/>
    <x v="0"/>
    <x v="4"/>
    <s v="Supervisor"/>
    <n v="20367"/>
    <n v="10"/>
    <n v="1"/>
    <x v="0"/>
    <s v="Senior"/>
  </r>
  <r>
    <n v="1996"/>
    <n v="50"/>
    <x v="0"/>
    <x v="2"/>
    <s v="Sales Manager"/>
    <n v="37397"/>
    <n v="12"/>
    <n v="4"/>
    <x v="1"/>
    <s v="Senior"/>
  </r>
  <r>
    <n v="1997"/>
    <n v="41"/>
    <x v="0"/>
    <x v="0"/>
    <s v="Analyst"/>
    <n v="113911"/>
    <n v="6"/>
    <n v="4"/>
    <x v="0"/>
    <s v="Mid-Level"/>
  </r>
  <r>
    <n v="1998"/>
    <n v="28"/>
    <x v="0"/>
    <x v="5"/>
    <s v="SEO Specialist"/>
    <n v="101271"/>
    <n v="16"/>
    <n v="2"/>
    <x v="1"/>
    <s v="Senior"/>
  </r>
  <r>
    <n v="1999"/>
    <n v="40"/>
    <x v="0"/>
    <x v="4"/>
    <s v="Supervisor"/>
    <n v="77235"/>
    <n v="7"/>
    <n v="1"/>
    <x v="0"/>
    <s v="Senior"/>
  </r>
  <r>
    <n v="2000"/>
    <n v="58"/>
    <x v="0"/>
    <x v="3"/>
    <s v="Recruiter"/>
    <n v="25029"/>
    <n v="4"/>
    <n v="2"/>
    <x v="0"/>
    <s v="Mid-Level"/>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0273FBB-194C-4562-AD12-3DEDDA37F298}" name="Emp Department"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B4:C11" firstHeaderRow="1" firstDataRow="1" firstDataCol="1"/>
  <pivotFields count="10">
    <pivotField dataField="1" showAll="0"/>
    <pivotField showAll="0"/>
    <pivotField showAll="0">
      <items count="3">
        <item x="0"/>
        <item x="1"/>
        <item t="default"/>
      </items>
    </pivotField>
    <pivotField axis="axisRow" showAll="0" sortType="descending">
      <items count="7">
        <item x="1"/>
        <item x="3"/>
        <item x="0"/>
        <item x="5"/>
        <item x="4"/>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3">
        <item x="0"/>
        <item x="1"/>
        <item t="default"/>
      </items>
    </pivotField>
    <pivotField showAll="0"/>
  </pivotFields>
  <rowFields count="1">
    <field x="3"/>
  </rowFields>
  <rowItems count="7">
    <i>
      <x/>
    </i>
    <i>
      <x v="3"/>
    </i>
    <i>
      <x v="2"/>
    </i>
    <i>
      <x v="1"/>
    </i>
    <i>
      <x v="4"/>
    </i>
    <i>
      <x v="5"/>
    </i>
    <i t="grand">
      <x/>
    </i>
  </rowItems>
  <colItems count="1">
    <i/>
  </colItems>
  <dataFields count="1">
    <dataField name="Count of Employee ID" fld="0" subtotal="count" baseField="3" baseItem="2"/>
  </dataFields>
  <chartFormats count="4">
    <chartFormat chart="9"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3148F30-8E8F-4DD8-891C-DAF01FC00DCD}" name="Avg Perf Rating"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0">
  <location ref="B59:C66" firstHeaderRow="1" firstDataRow="1" firstDataCol="1"/>
  <pivotFields count="10">
    <pivotField showAll="0"/>
    <pivotField showAll="0"/>
    <pivotField showAll="0">
      <items count="3">
        <item x="0"/>
        <item x="1"/>
        <item t="default"/>
      </items>
    </pivotField>
    <pivotField axis="axisRow" showAll="0">
      <items count="7">
        <item x="1"/>
        <item x="3"/>
        <item x="0"/>
        <item x="5"/>
        <item x="4"/>
        <item x="2"/>
        <item t="default"/>
      </items>
    </pivotField>
    <pivotField showAll="0"/>
    <pivotField showAll="0"/>
    <pivotField showAll="0"/>
    <pivotField dataField="1" showAll="0"/>
    <pivotField showAll="0">
      <items count="3">
        <item x="0"/>
        <item x="1"/>
        <item t="default"/>
      </items>
    </pivotField>
    <pivotField showAll="0"/>
  </pivotFields>
  <rowFields count="1">
    <field x="3"/>
  </rowFields>
  <rowItems count="7">
    <i>
      <x/>
    </i>
    <i>
      <x v="1"/>
    </i>
    <i>
      <x v="2"/>
    </i>
    <i>
      <x v="3"/>
    </i>
    <i>
      <x v="4"/>
    </i>
    <i>
      <x v="5"/>
    </i>
    <i t="grand">
      <x/>
    </i>
  </rowItems>
  <colItems count="1">
    <i/>
  </colItems>
  <dataFields count="1">
    <dataField name="Average of Performance Rating" fld="7" subtotal="average" baseField="3" baseItem="1" numFmtId="4"/>
  </dataFields>
  <chartFormats count="3">
    <chartFormat chart="34" format="1" series="1">
      <pivotArea type="data" outline="0" fieldPosition="0">
        <references count="1">
          <reference field="4294967294" count="1" selected="0">
            <x v="0"/>
          </reference>
        </references>
      </pivotArea>
    </chartFormat>
    <chartFormat chart="36" format="1" series="1">
      <pivotArea type="data" outline="0" fieldPosition="0">
        <references count="1">
          <reference field="4294967294" count="1" selected="0">
            <x v="0"/>
          </reference>
        </references>
      </pivotArea>
    </chartFormat>
    <chartFormat chart="39"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E63EA8F-FA12-4F0E-ABA8-31525663B930}" name="Avg sal Depart"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9">
  <location ref="B44:C51" firstHeaderRow="1" firstDataRow="1" firstDataCol="1"/>
  <pivotFields count="10">
    <pivotField showAll="0"/>
    <pivotField showAll="0"/>
    <pivotField showAll="0">
      <items count="3">
        <item x="0"/>
        <item x="1"/>
        <item t="default"/>
      </items>
    </pivotField>
    <pivotField axis="axisRow" showAll="0">
      <items count="7">
        <item x="1"/>
        <item x="3"/>
        <item x="0"/>
        <item x="5"/>
        <item x="4"/>
        <item x="2"/>
        <item t="default"/>
      </items>
    </pivotField>
    <pivotField showAll="0"/>
    <pivotField dataField="1" showAll="0"/>
    <pivotField showAll="0"/>
    <pivotField showAll="0"/>
    <pivotField showAll="0">
      <items count="3">
        <item x="0"/>
        <item x="1"/>
        <item t="default"/>
      </items>
    </pivotField>
    <pivotField showAll="0"/>
  </pivotFields>
  <rowFields count="1">
    <field x="3"/>
  </rowFields>
  <rowItems count="7">
    <i>
      <x/>
    </i>
    <i>
      <x v="1"/>
    </i>
    <i>
      <x v="2"/>
    </i>
    <i>
      <x v="3"/>
    </i>
    <i>
      <x v="4"/>
    </i>
    <i>
      <x v="5"/>
    </i>
    <i t="grand">
      <x/>
    </i>
  </rowItems>
  <colItems count="1">
    <i/>
  </colItems>
  <dataFields count="1">
    <dataField name="Average of Monthly Income" fld="5" subtotal="average" baseField="3" baseItem="2" numFmtId="164"/>
  </dataFields>
  <chartFormats count="9">
    <chartFormat chart="3" format="1" series="1">
      <pivotArea type="data" outline="0" fieldPosition="0">
        <references count="1">
          <reference field="4294967294" count="1" selected="0">
            <x v="0"/>
          </reference>
        </references>
      </pivotArea>
    </chartFormat>
    <chartFormat chart="31" format="0" series="1">
      <pivotArea type="data" outline="0" fieldPosition="0">
        <references count="1">
          <reference field="4294967294" count="1" selected="0">
            <x v="0"/>
          </reference>
        </references>
      </pivotArea>
    </chartFormat>
    <chartFormat chart="38" format="2" series="1">
      <pivotArea type="data" outline="0" fieldPosition="0">
        <references count="1">
          <reference field="4294967294" count="1" selected="0">
            <x v="0"/>
          </reference>
        </references>
      </pivotArea>
    </chartFormat>
    <chartFormat chart="38" format="3">
      <pivotArea type="data" outline="0" fieldPosition="0">
        <references count="2">
          <reference field="4294967294" count="1" selected="0">
            <x v="0"/>
          </reference>
          <reference field="3" count="1" selected="0">
            <x v="0"/>
          </reference>
        </references>
      </pivotArea>
    </chartFormat>
    <chartFormat chart="38" format="4">
      <pivotArea type="data" outline="0" fieldPosition="0">
        <references count="2">
          <reference field="4294967294" count="1" selected="0">
            <x v="0"/>
          </reference>
          <reference field="3" count="1" selected="0">
            <x v="1"/>
          </reference>
        </references>
      </pivotArea>
    </chartFormat>
    <chartFormat chart="38" format="5">
      <pivotArea type="data" outline="0" fieldPosition="0">
        <references count="2">
          <reference field="4294967294" count="1" selected="0">
            <x v="0"/>
          </reference>
          <reference field="3" count="1" selected="0">
            <x v="2"/>
          </reference>
        </references>
      </pivotArea>
    </chartFormat>
    <chartFormat chart="38" format="6">
      <pivotArea type="data" outline="0" fieldPosition="0">
        <references count="2">
          <reference field="4294967294" count="1" selected="0">
            <x v="0"/>
          </reference>
          <reference field="3" count="1" selected="0">
            <x v="3"/>
          </reference>
        </references>
      </pivotArea>
    </chartFormat>
    <chartFormat chart="38" format="7">
      <pivotArea type="data" outline="0" fieldPosition="0">
        <references count="2">
          <reference field="4294967294" count="1" selected="0">
            <x v="0"/>
          </reference>
          <reference field="3" count="1" selected="0">
            <x v="4"/>
          </reference>
        </references>
      </pivotArea>
    </chartFormat>
    <chartFormat chart="38" format="8">
      <pivotArea type="data" outline="0" fieldPosition="0">
        <references count="2">
          <reference field="4294967294" count="1" selected="0">
            <x v="0"/>
          </reference>
          <reference field="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17819BD-91C9-41FB-9852-82342313B57D}" name="Exp Level"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B93:C97"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Count of Employee ID" fld="1" subtotal="count" baseField="0" baseItem="0"/>
  </dataFields>
  <chartFormats count="20">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0" count="1" selected="0">
            <x v="0"/>
          </reference>
        </references>
      </pivotArea>
    </chartFormat>
    <chartFormat chart="2" format="3">
      <pivotArea type="data" outline="0" fieldPosition="0">
        <references count="2">
          <reference field="4294967294" count="1" selected="0">
            <x v="0"/>
          </reference>
          <reference field="0" count="1" selected="0">
            <x v="1"/>
          </reference>
        </references>
      </pivotArea>
    </chartFormat>
    <chartFormat chart="2" format="4">
      <pivotArea type="data" outline="0" fieldPosition="0">
        <references count="2">
          <reference field="4294967294" count="1" selected="0">
            <x v="0"/>
          </reference>
          <reference field="0" count="1" selected="0">
            <x v="2"/>
          </reference>
        </references>
      </pivotArea>
    </chartFormat>
    <chartFormat chart="7" format="9" series="1">
      <pivotArea type="data" outline="0" fieldPosition="0">
        <references count="1">
          <reference field="4294967294" count="1" selected="0">
            <x v="0"/>
          </reference>
        </references>
      </pivotArea>
    </chartFormat>
    <chartFormat chart="7" format="10">
      <pivotArea type="data" outline="0" fieldPosition="0">
        <references count="2">
          <reference field="4294967294" count="1" selected="0">
            <x v="0"/>
          </reference>
          <reference field="0" count="1" selected="0">
            <x v="0"/>
          </reference>
        </references>
      </pivotArea>
    </chartFormat>
    <chartFormat chart="7" format="11">
      <pivotArea type="data" outline="0" fieldPosition="0">
        <references count="2">
          <reference field="4294967294" count="1" selected="0">
            <x v="0"/>
          </reference>
          <reference field="0" count="1" selected="0">
            <x v="1"/>
          </reference>
        </references>
      </pivotArea>
    </chartFormat>
    <chartFormat chart="7" format="12">
      <pivotArea type="data" outline="0" fieldPosition="0">
        <references count="2">
          <reference field="4294967294" count="1" selected="0">
            <x v="0"/>
          </reference>
          <reference field="0" count="1" selected="0">
            <x v="2"/>
          </reference>
        </references>
      </pivotArea>
    </chartFormat>
    <chartFormat chart="14" format="0" series="1">
      <pivotArea type="data" outline="0" fieldPosition="0">
        <references count="1">
          <reference field="4294967294" count="1" selected="0">
            <x v="0"/>
          </reference>
        </references>
      </pivotArea>
    </chartFormat>
    <chartFormat chart="14" format="1">
      <pivotArea type="data" outline="0" fieldPosition="0">
        <references count="2">
          <reference field="4294967294" count="1" selected="0">
            <x v="0"/>
          </reference>
          <reference field="0" count="1" selected="0">
            <x v="2"/>
          </reference>
        </references>
      </pivotArea>
    </chartFormat>
    <chartFormat chart="14" format="2">
      <pivotArea type="data" outline="0" fieldPosition="0">
        <references count="2">
          <reference field="4294967294" count="1" selected="0">
            <x v="0"/>
          </reference>
          <reference field="0" count="1" selected="0">
            <x v="0"/>
          </reference>
        </references>
      </pivotArea>
    </chartFormat>
    <chartFormat chart="14" format="3">
      <pivotArea type="data" outline="0" fieldPosition="0">
        <references count="2">
          <reference field="4294967294" count="1" selected="0">
            <x v="0"/>
          </reference>
          <reference field="0" count="1" selected="0">
            <x v="1"/>
          </reference>
        </references>
      </pivotArea>
    </chartFormat>
    <chartFormat chart="17" format="8" series="1">
      <pivotArea type="data" outline="0" fieldPosition="0">
        <references count="1">
          <reference field="4294967294" count="1" selected="0">
            <x v="0"/>
          </reference>
        </references>
      </pivotArea>
    </chartFormat>
    <chartFormat chart="17" format="9">
      <pivotArea type="data" outline="0" fieldPosition="0">
        <references count="2">
          <reference field="4294967294" count="1" selected="0">
            <x v="0"/>
          </reference>
          <reference field="0" count="1" selected="0">
            <x v="0"/>
          </reference>
        </references>
      </pivotArea>
    </chartFormat>
    <chartFormat chart="17" format="10">
      <pivotArea type="data" outline="0" fieldPosition="0">
        <references count="2">
          <reference field="4294967294" count="1" selected="0">
            <x v="0"/>
          </reference>
          <reference field="0" count="1" selected="0">
            <x v="1"/>
          </reference>
        </references>
      </pivotArea>
    </chartFormat>
    <chartFormat chart="17" format="11">
      <pivotArea type="data" outline="0" fieldPosition="0">
        <references count="2">
          <reference field="4294967294" count="1" selected="0">
            <x v="0"/>
          </reference>
          <reference field="0" count="1" selected="0">
            <x v="2"/>
          </reference>
        </references>
      </pivotArea>
    </chartFormat>
    <chartFormat chart="18" format="12" series="1">
      <pivotArea type="data" outline="0" fieldPosition="0">
        <references count="1">
          <reference field="4294967294" count="1" selected="0">
            <x v="0"/>
          </reference>
        </references>
      </pivotArea>
    </chartFormat>
    <chartFormat chart="18" format="13">
      <pivotArea type="data" outline="0" fieldPosition="0">
        <references count="2">
          <reference field="4294967294" count="1" selected="0">
            <x v="0"/>
          </reference>
          <reference field="0" count="1" selected="0">
            <x v="0"/>
          </reference>
        </references>
      </pivotArea>
    </chartFormat>
    <chartFormat chart="18" format="14">
      <pivotArea type="data" outline="0" fieldPosition="0">
        <references count="2">
          <reference field="4294967294" count="1" selected="0">
            <x v="0"/>
          </reference>
          <reference field="0" count="1" selected="0">
            <x v="1"/>
          </reference>
        </references>
      </pivotArea>
    </chartFormat>
    <chartFormat chart="18" format="15">
      <pivotArea type="data" outline="0" fieldPosition="0">
        <references count="2">
          <reference field="4294967294" count="1" selected="0">
            <x v="0"/>
          </reference>
          <reference field="0" count="1" selected="0">
            <x v="2"/>
          </reference>
        </references>
      </pivotArea>
    </chartFormat>
  </chartFormats>
  <pivotHierarchies count="1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Count of Employee ID"/>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_Analytics_Datase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0A4A1BC-B3C7-4A51-BE09-68C9514734AE}" name="Attrition Depart"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B28:E36" firstHeaderRow="1" firstDataRow="2" firstDataCol="1"/>
  <pivotFields count="10">
    <pivotField dataField="1" showAll="0"/>
    <pivotField showAll="0"/>
    <pivotField showAll="0">
      <items count="3">
        <item x="0"/>
        <item x="1"/>
        <item t="default"/>
      </items>
    </pivotField>
    <pivotField axis="axisRow" showAll="0">
      <items count="7">
        <item x="1"/>
        <item x="3"/>
        <item x="0"/>
        <item x="5"/>
        <item x="4"/>
        <item x="2"/>
        <item t="default"/>
      </items>
    </pivotField>
    <pivotField showAll="0"/>
    <pivotField showAll="0"/>
    <pivotField showAll="0"/>
    <pivotField showAll="0"/>
    <pivotField axis="axisCol" showAll="0">
      <items count="3">
        <item x="0"/>
        <item x="1"/>
        <item t="default"/>
      </items>
    </pivotField>
    <pivotField showAll="0"/>
  </pivotFields>
  <rowFields count="1">
    <field x="3"/>
  </rowFields>
  <rowItems count="7">
    <i>
      <x/>
    </i>
    <i>
      <x v="1"/>
    </i>
    <i>
      <x v="2"/>
    </i>
    <i>
      <x v="3"/>
    </i>
    <i>
      <x v="4"/>
    </i>
    <i>
      <x v="5"/>
    </i>
    <i t="grand">
      <x/>
    </i>
  </rowItems>
  <colFields count="1">
    <field x="8"/>
  </colFields>
  <colItems count="3">
    <i>
      <x/>
    </i>
    <i>
      <x v="1"/>
    </i>
    <i t="grand">
      <x/>
    </i>
  </colItems>
  <dataFields count="1">
    <dataField name="Count of Employee ID" fld="0" subtotal="count" baseField="3" baseItem="0"/>
  </dataFields>
  <chartFormats count="4">
    <chartFormat chart="2" format="0" series="1">
      <pivotArea type="data" outline="0" fieldPosition="0">
        <references count="2">
          <reference field="4294967294" count="1" selected="0">
            <x v="0"/>
          </reference>
          <reference field="8" count="1" selected="0">
            <x v="0"/>
          </reference>
        </references>
      </pivotArea>
    </chartFormat>
    <chartFormat chart="2" format="1" series="1">
      <pivotArea type="data" outline="0" fieldPosition="0">
        <references count="2">
          <reference field="4294967294" count="1" selected="0">
            <x v="0"/>
          </reference>
          <reference field="8" count="1" selected="0">
            <x v="1"/>
          </reference>
        </references>
      </pivotArea>
    </chartFormat>
    <chartFormat chart="4" format="4" series="1">
      <pivotArea type="data" outline="0" fieldPosition="0">
        <references count="2">
          <reference field="4294967294" count="1" selected="0">
            <x v="0"/>
          </reference>
          <reference field="8" count="1" selected="0">
            <x v="0"/>
          </reference>
        </references>
      </pivotArea>
    </chartFormat>
    <chartFormat chart="4" format="5" series="1">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2FD3384-E610-40E1-90D2-D056B8A83530}" name="Gender Distribution"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B18:C21" firstHeaderRow="1" firstDataRow="1" firstDataCol="1"/>
  <pivotFields count="10">
    <pivotField dataField="1" showAll="0"/>
    <pivotField showAll="0"/>
    <pivotField axis="axisRow" showAll="0">
      <items count="3">
        <item x="0"/>
        <item x="1"/>
        <item t="default"/>
      </items>
    </pivotField>
    <pivotField showAll="0">
      <items count="7">
        <item x="1"/>
        <item x="3"/>
        <item x="0"/>
        <item x="5"/>
        <item x="4"/>
        <item x="2"/>
        <item t="default"/>
      </items>
    </pivotField>
    <pivotField showAll="0"/>
    <pivotField showAll="0"/>
    <pivotField showAll="0"/>
    <pivotField showAll="0"/>
    <pivotField showAll="0">
      <items count="3">
        <item x="0"/>
        <item x="1"/>
        <item t="default"/>
      </items>
    </pivotField>
    <pivotField showAll="0"/>
  </pivotFields>
  <rowFields count="1">
    <field x="2"/>
  </rowFields>
  <rowItems count="3">
    <i>
      <x/>
    </i>
    <i>
      <x v="1"/>
    </i>
    <i t="grand">
      <x/>
    </i>
  </rowItems>
  <colItems count="1">
    <i/>
  </colItems>
  <dataFields count="1">
    <dataField name="Count of Employee ID" fld="0" subtotal="count" showDataAs="percentOfTotal" baseField="2" baseItem="0" numFmtId="10"/>
  </dataFields>
  <chartFormats count="6">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2" count="1" selected="0">
            <x v="0"/>
          </reference>
        </references>
      </pivotArea>
    </chartFormat>
    <chartFormat chart="1" format="2">
      <pivotArea type="data" outline="0" fieldPosition="0">
        <references count="2">
          <reference field="4294967294" count="1" selected="0">
            <x v="0"/>
          </reference>
          <reference field="2"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2" count="1" selected="0">
            <x v="0"/>
          </reference>
        </references>
      </pivotArea>
    </chartFormat>
    <chartFormat chart="3" format="8">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7F48C88-166D-454F-BC6F-37EDBC5CFBBB}" sourceName="Gender">
  <pivotTables>
    <pivotTable tabId="4" name="Attrition Depart"/>
    <pivotTable tabId="4" name="Avg Perf Rating"/>
    <pivotTable tabId="4" name="Avg sal Depart"/>
    <pivotTable tabId="4" name="Emp Department"/>
    <pivotTable tabId="4" name="Gender Distribution"/>
  </pivotTables>
  <data>
    <tabular pivotCacheId="1589942426">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40AE0D1A-6082-42B4-AB97-0F7B1E8EF5A8}" sourceName="Department">
  <pivotTables>
    <pivotTable tabId="4" name="Attrition Depart"/>
    <pivotTable tabId="4" name="Avg Perf Rating"/>
    <pivotTable tabId="4" name="Avg sal Depart"/>
    <pivotTable tabId="4" name="Emp Department"/>
    <pivotTable tabId="4" name="Gender Distribution"/>
  </pivotTables>
  <data>
    <tabular pivotCacheId="1589942426">
      <items count="6">
        <i x="1" s="1"/>
        <i x="3" s="1"/>
        <i x="0" s="1"/>
        <i x="5" s="1"/>
        <i x="4"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ttrition" xr10:uid="{FD5DD5C2-3FD1-45F2-81DA-505D6E6FD2E5}" sourceName="Attrition">
  <pivotTables>
    <pivotTable tabId="4" name="Attrition Depart"/>
    <pivotTable tabId="4" name="Avg Perf Rating"/>
    <pivotTable tabId="4" name="Avg sal Depart"/>
    <pivotTable tabId="4" name="Emp Department"/>
    <pivotTable tabId="4" name="Gender Distribution"/>
  </pivotTables>
  <data>
    <tabular pivotCacheId="1589942426">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D3B11ACE-79C5-47A2-84FB-72231C23E118}" cache="Slicer_Gender" caption="Gender" style="SlicerStyleDark4 7" rowHeight="241300"/>
  <slicer name="Department 1" xr10:uid="{0A6F94D4-BF40-4E46-BBEE-27DB53F2083F}" cache="Slicer_Department" caption="Department" style="SlicerStyleDark4" rowHeight="241300"/>
  <slicer name="Attrition 1" xr10:uid="{1C99BFAF-BBA2-4DE5-A371-5FEE4E4968F6}" cache="Slicer_Attrition" caption="Attrition" style="SlicerStyleDark4 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D8E25E11-4DFF-4B14-A9B1-95370489B54F}" cache="Slicer_Gender" caption="Gender" style="SlicerStyleLight1" rowHeight="241300"/>
  <slicer name="Department" xr10:uid="{BE6B5BC2-14DF-4687-99B6-897A46B979E6}" cache="Slicer_Department" caption="Department" style="SlicerStyleLight1" rowHeight="241300"/>
  <slicer name="Attrition" xr10:uid="{720D86D2-688E-4A9A-A258-8CC3FABCFE77}" cache="Slicer_Attrition" caption="Attrition" style="SlicerStyleLight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BC96ADC-6D43-4CEE-8208-D659881C62BF}" name="Table1" displayName="Table1" ref="A1:J1001" totalsRowShown="0">
  <autoFilter ref="A1:J1001" xr:uid="{0BC96ADC-6D43-4CEE-8208-D659881C62BF}"/>
  <tableColumns count="10">
    <tableColumn id="1" xr3:uid="{65DF1403-7961-463E-9FBA-4840BDF08E97}" name="Employee ID"/>
    <tableColumn id="2" xr3:uid="{DABB8730-E939-4097-8B4D-374B4E28BC3F}" name="Age"/>
    <tableColumn id="3" xr3:uid="{9B18EF46-EC04-4E2B-AF0B-F0A77624A02C}" name="Gender"/>
    <tableColumn id="4" xr3:uid="{43C9CE02-60D3-4C67-B3F9-59FCD5DEA8E2}" name="Department"/>
    <tableColumn id="5" xr3:uid="{AF6BA03B-9EB1-465A-B17C-BB1C024EF4D7}" name="Job Role"/>
    <tableColumn id="6" xr3:uid="{F331CCF9-B5F8-4E9C-861D-491BC040ECA5}" name="Monthly Income"/>
    <tableColumn id="7" xr3:uid="{A5E686FF-2D9D-41EE-9F73-A3D5671BCB89}" name="Years At Company"/>
    <tableColumn id="8" xr3:uid="{9B961949-B5FD-46AE-83F4-AC5CF3FE4066}" name="Performance Rating"/>
    <tableColumn id="9" xr3:uid="{89207D4E-C4E9-4894-8800-05BE0D8FE27D}" name="Attrition"/>
    <tableColumn id="10" xr3:uid="{DE1B8102-4800-47B5-8A6E-1E7615174016}" name="Experience Level" dataDxfId="4">
      <calculatedColumnFormula>IF(G2&lt;3,"Junior",IF(G2&lt;7,"Mid-Level","Senior"))</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8" Type="http://schemas.microsoft.com/office/2007/relationships/slicer" Target="../slicers/slicer2.xml"/><Relationship Id="rId3" Type="http://schemas.openxmlformats.org/officeDocument/2006/relationships/pivotTable" Target="../pivotTables/pivotTable3.xml"/><Relationship Id="rId7"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01"/>
  <sheetViews>
    <sheetView topLeftCell="A45" workbookViewId="0">
      <selection activeCell="H55" sqref="H55"/>
    </sheetView>
  </sheetViews>
  <sheetFormatPr defaultColWidth="12.5703125" defaultRowHeight="15" customHeight="1" x14ac:dyDescent="0.25"/>
  <cols>
    <col min="1" max="1" width="15.28515625" customWidth="1"/>
    <col min="2" max="2" width="11.5703125" customWidth="1"/>
    <col min="3" max="3" width="13.5703125" customWidth="1"/>
    <col min="4" max="4" width="16.85546875" customWidth="1"/>
    <col min="5" max="5" width="22.85546875" customWidth="1"/>
    <col min="6" max="6" width="19.5703125" customWidth="1"/>
    <col min="7" max="7" width="18.28515625" customWidth="1"/>
    <col min="8" max="8" width="21.28515625" customWidth="1"/>
    <col min="9" max="9" width="12.85546875" customWidth="1"/>
    <col min="10" max="10" width="20.7109375" customWidth="1"/>
    <col min="11" max="11" width="7.5703125" customWidth="1"/>
  </cols>
  <sheetData>
    <row r="1" spans="1:10" x14ac:dyDescent="0.25">
      <c r="A1" s="1" t="s">
        <v>31</v>
      </c>
      <c r="B1" t="s">
        <v>0</v>
      </c>
      <c r="C1" t="s">
        <v>1</v>
      </c>
      <c r="D1" t="s">
        <v>2</v>
      </c>
      <c r="E1" s="1" t="s">
        <v>30</v>
      </c>
      <c r="F1" s="1" t="s">
        <v>29</v>
      </c>
      <c r="G1" s="1" t="s">
        <v>28</v>
      </c>
      <c r="H1" s="1" t="s">
        <v>27</v>
      </c>
      <c r="I1" t="s">
        <v>3</v>
      </c>
      <c r="J1" t="s">
        <v>52</v>
      </c>
    </row>
    <row r="2" spans="1:10" x14ac:dyDescent="0.25">
      <c r="A2">
        <v>1001</v>
      </c>
      <c r="B2">
        <v>37</v>
      </c>
      <c r="C2" t="s">
        <v>4</v>
      </c>
      <c r="D2" t="s">
        <v>5</v>
      </c>
      <c r="E2" t="s">
        <v>6</v>
      </c>
      <c r="F2">
        <v>106935</v>
      </c>
      <c r="G2">
        <v>2</v>
      </c>
      <c r="H2">
        <v>5</v>
      </c>
      <c r="I2" t="s">
        <v>7</v>
      </c>
      <c r="J2" t="str">
        <f t="shared" ref="J2:J65" si="0">IF(G2&lt;3,"Junior",IF(G2&lt;7,"Mid-Level","Senior"))</f>
        <v>Junior</v>
      </c>
    </row>
    <row r="3" spans="1:10" x14ac:dyDescent="0.25">
      <c r="A3">
        <v>1002</v>
      </c>
      <c r="B3">
        <v>32</v>
      </c>
      <c r="C3" t="s">
        <v>4</v>
      </c>
      <c r="D3" t="s">
        <v>8</v>
      </c>
      <c r="E3" t="s">
        <v>9</v>
      </c>
      <c r="F3">
        <v>92802</v>
      </c>
      <c r="G3">
        <v>2</v>
      </c>
      <c r="H3">
        <v>1</v>
      </c>
      <c r="I3" t="s">
        <v>7</v>
      </c>
      <c r="J3" t="str">
        <f t="shared" si="0"/>
        <v>Junior</v>
      </c>
    </row>
    <row r="4" spans="1:10" x14ac:dyDescent="0.25">
      <c r="A4">
        <v>1003</v>
      </c>
      <c r="B4">
        <v>28</v>
      </c>
      <c r="C4" t="s">
        <v>10</v>
      </c>
      <c r="D4" t="s">
        <v>8</v>
      </c>
      <c r="E4" t="s">
        <v>9</v>
      </c>
      <c r="F4">
        <v>20173</v>
      </c>
      <c r="G4">
        <v>19</v>
      </c>
      <c r="H4">
        <v>4</v>
      </c>
      <c r="I4" t="s">
        <v>7</v>
      </c>
      <c r="J4" t="str">
        <f t="shared" si="0"/>
        <v>Senior</v>
      </c>
    </row>
    <row r="5" spans="1:10" x14ac:dyDescent="0.25">
      <c r="A5">
        <v>1004</v>
      </c>
      <c r="B5">
        <v>55</v>
      </c>
      <c r="C5" t="s">
        <v>10</v>
      </c>
      <c r="D5" t="s">
        <v>11</v>
      </c>
      <c r="E5" t="s">
        <v>12</v>
      </c>
      <c r="F5">
        <v>100197</v>
      </c>
      <c r="G5">
        <v>1</v>
      </c>
      <c r="H5">
        <v>3</v>
      </c>
      <c r="I5" t="s">
        <v>7</v>
      </c>
      <c r="J5" t="str">
        <f t="shared" si="0"/>
        <v>Junior</v>
      </c>
    </row>
    <row r="6" spans="1:10" x14ac:dyDescent="0.25">
      <c r="A6">
        <v>1005</v>
      </c>
      <c r="B6">
        <v>34</v>
      </c>
      <c r="C6" t="s">
        <v>10</v>
      </c>
      <c r="D6" t="s">
        <v>8</v>
      </c>
      <c r="E6" t="s">
        <v>13</v>
      </c>
      <c r="F6">
        <v>65942</v>
      </c>
      <c r="G6">
        <v>17</v>
      </c>
      <c r="H6">
        <v>1</v>
      </c>
      <c r="I6" t="s">
        <v>7</v>
      </c>
      <c r="J6" t="str">
        <f t="shared" si="0"/>
        <v>Senior</v>
      </c>
    </row>
    <row r="7" spans="1:10" x14ac:dyDescent="0.25">
      <c r="A7">
        <v>1006</v>
      </c>
      <c r="B7">
        <v>54</v>
      </c>
      <c r="C7" t="s">
        <v>4</v>
      </c>
      <c r="D7" t="s">
        <v>5</v>
      </c>
      <c r="E7" t="s">
        <v>6</v>
      </c>
      <c r="F7">
        <v>69383</v>
      </c>
      <c r="G7">
        <v>2</v>
      </c>
      <c r="H7">
        <v>3</v>
      </c>
      <c r="I7" t="s">
        <v>7</v>
      </c>
      <c r="J7" t="str">
        <f t="shared" si="0"/>
        <v>Junior</v>
      </c>
    </row>
    <row r="8" spans="1:10" x14ac:dyDescent="0.25">
      <c r="A8">
        <v>1007</v>
      </c>
      <c r="B8">
        <v>23</v>
      </c>
      <c r="C8" t="s">
        <v>10</v>
      </c>
      <c r="D8" t="s">
        <v>11</v>
      </c>
      <c r="E8" t="s">
        <v>12</v>
      </c>
      <c r="F8">
        <v>58398</v>
      </c>
      <c r="G8">
        <v>1</v>
      </c>
      <c r="H8">
        <v>4</v>
      </c>
      <c r="I8" t="s">
        <v>7</v>
      </c>
      <c r="J8" t="str">
        <f t="shared" si="0"/>
        <v>Junior</v>
      </c>
    </row>
    <row r="9" spans="1:10" x14ac:dyDescent="0.25">
      <c r="A9">
        <v>1008</v>
      </c>
      <c r="B9">
        <v>47</v>
      </c>
      <c r="C9" t="s">
        <v>4</v>
      </c>
      <c r="D9" t="s">
        <v>8</v>
      </c>
      <c r="E9" t="s">
        <v>13</v>
      </c>
      <c r="F9">
        <v>77216</v>
      </c>
      <c r="G9">
        <v>10</v>
      </c>
      <c r="H9">
        <v>1</v>
      </c>
      <c r="I9" t="s">
        <v>7</v>
      </c>
      <c r="J9" t="str">
        <f t="shared" si="0"/>
        <v>Senior</v>
      </c>
    </row>
    <row r="10" spans="1:10" x14ac:dyDescent="0.25">
      <c r="A10">
        <v>1009</v>
      </c>
      <c r="B10">
        <v>51</v>
      </c>
      <c r="C10" t="s">
        <v>10</v>
      </c>
      <c r="D10" t="s">
        <v>11</v>
      </c>
      <c r="E10" t="s">
        <v>14</v>
      </c>
      <c r="F10">
        <v>31583</v>
      </c>
      <c r="G10">
        <v>13</v>
      </c>
      <c r="H10">
        <v>5</v>
      </c>
      <c r="I10" t="s">
        <v>15</v>
      </c>
      <c r="J10" t="str">
        <f t="shared" si="0"/>
        <v>Senior</v>
      </c>
    </row>
    <row r="11" spans="1:10" x14ac:dyDescent="0.25">
      <c r="A11">
        <v>1010</v>
      </c>
      <c r="B11">
        <v>54</v>
      </c>
      <c r="C11" t="s">
        <v>4</v>
      </c>
      <c r="D11" t="s">
        <v>8</v>
      </c>
      <c r="E11" t="s">
        <v>13</v>
      </c>
      <c r="F11">
        <v>117177</v>
      </c>
      <c r="G11">
        <v>2</v>
      </c>
      <c r="H11">
        <v>1</v>
      </c>
      <c r="I11" t="s">
        <v>7</v>
      </c>
      <c r="J11" t="str">
        <f t="shared" si="0"/>
        <v>Junior</v>
      </c>
    </row>
    <row r="12" spans="1:10" x14ac:dyDescent="0.25">
      <c r="A12">
        <v>1011</v>
      </c>
      <c r="B12">
        <v>45</v>
      </c>
      <c r="C12" t="s">
        <v>10</v>
      </c>
      <c r="D12" t="s">
        <v>16</v>
      </c>
      <c r="E12" t="s">
        <v>17</v>
      </c>
      <c r="F12">
        <v>76243</v>
      </c>
      <c r="G12">
        <v>13</v>
      </c>
      <c r="H12">
        <v>3</v>
      </c>
      <c r="I12" t="s">
        <v>7</v>
      </c>
      <c r="J12" t="str">
        <f t="shared" si="0"/>
        <v>Senior</v>
      </c>
    </row>
    <row r="13" spans="1:10" x14ac:dyDescent="0.25">
      <c r="A13">
        <v>1012</v>
      </c>
      <c r="B13">
        <v>40</v>
      </c>
      <c r="C13" t="s">
        <v>10</v>
      </c>
      <c r="D13" t="s">
        <v>18</v>
      </c>
      <c r="E13" t="s">
        <v>19</v>
      </c>
      <c r="F13">
        <v>43813</v>
      </c>
      <c r="G13">
        <v>4</v>
      </c>
      <c r="H13">
        <v>2</v>
      </c>
      <c r="I13" t="s">
        <v>7</v>
      </c>
      <c r="J13" t="str">
        <f t="shared" si="0"/>
        <v>Mid-Level</v>
      </c>
    </row>
    <row r="14" spans="1:10" x14ac:dyDescent="0.25">
      <c r="A14">
        <v>1013</v>
      </c>
      <c r="B14">
        <v>29</v>
      </c>
      <c r="C14" t="s">
        <v>10</v>
      </c>
      <c r="D14" t="s">
        <v>5</v>
      </c>
      <c r="E14" t="s">
        <v>20</v>
      </c>
      <c r="F14">
        <v>51275</v>
      </c>
      <c r="G14">
        <v>2</v>
      </c>
      <c r="H14">
        <v>4</v>
      </c>
      <c r="I14" t="s">
        <v>7</v>
      </c>
      <c r="J14" t="str">
        <f t="shared" si="0"/>
        <v>Junior</v>
      </c>
    </row>
    <row r="15" spans="1:10" x14ac:dyDescent="0.25">
      <c r="A15">
        <v>1014</v>
      </c>
      <c r="B15">
        <v>57</v>
      </c>
      <c r="C15" t="s">
        <v>10</v>
      </c>
      <c r="D15" t="s">
        <v>21</v>
      </c>
      <c r="E15" t="s">
        <v>22</v>
      </c>
      <c r="F15">
        <v>58679</v>
      </c>
      <c r="G15">
        <v>10</v>
      </c>
      <c r="H15">
        <v>4</v>
      </c>
      <c r="I15" t="s">
        <v>7</v>
      </c>
      <c r="J15" t="str">
        <f t="shared" si="0"/>
        <v>Senior</v>
      </c>
    </row>
    <row r="16" spans="1:10" x14ac:dyDescent="0.25">
      <c r="A16">
        <v>1015</v>
      </c>
      <c r="B16">
        <v>35</v>
      </c>
      <c r="C16" t="s">
        <v>10</v>
      </c>
      <c r="D16" t="s">
        <v>11</v>
      </c>
      <c r="E16" t="s">
        <v>14</v>
      </c>
      <c r="F16">
        <v>96488</v>
      </c>
      <c r="G16">
        <v>10</v>
      </c>
      <c r="H16">
        <v>1</v>
      </c>
      <c r="I16" t="s">
        <v>7</v>
      </c>
      <c r="J16" t="str">
        <f t="shared" si="0"/>
        <v>Senior</v>
      </c>
    </row>
    <row r="17" spans="1:10" x14ac:dyDescent="0.25">
      <c r="A17">
        <v>1016</v>
      </c>
      <c r="B17">
        <v>34</v>
      </c>
      <c r="C17" t="s">
        <v>4</v>
      </c>
      <c r="D17" t="s">
        <v>18</v>
      </c>
      <c r="E17" t="s">
        <v>23</v>
      </c>
      <c r="F17">
        <v>23979</v>
      </c>
      <c r="G17">
        <v>18</v>
      </c>
      <c r="H17">
        <v>1</v>
      </c>
      <c r="I17" t="s">
        <v>7</v>
      </c>
      <c r="J17" t="str">
        <f t="shared" si="0"/>
        <v>Senior</v>
      </c>
    </row>
    <row r="18" spans="1:10" x14ac:dyDescent="0.25">
      <c r="A18">
        <v>1017</v>
      </c>
      <c r="B18">
        <v>58</v>
      </c>
      <c r="C18" t="s">
        <v>4</v>
      </c>
      <c r="D18" t="s">
        <v>11</v>
      </c>
      <c r="E18" t="s">
        <v>14</v>
      </c>
      <c r="F18">
        <v>47331</v>
      </c>
      <c r="G18">
        <v>7</v>
      </c>
      <c r="H18">
        <v>3</v>
      </c>
      <c r="I18" t="s">
        <v>7</v>
      </c>
      <c r="J18" t="str">
        <f t="shared" si="0"/>
        <v>Senior</v>
      </c>
    </row>
    <row r="19" spans="1:10" x14ac:dyDescent="0.25">
      <c r="A19">
        <v>1018</v>
      </c>
      <c r="B19">
        <v>23</v>
      </c>
      <c r="C19" t="s">
        <v>4</v>
      </c>
      <c r="D19" t="s">
        <v>21</v>
      </c>
      <c r="E19" t="s">
        <v>22</v>
      </c>
      <c r="F19">
        <v>102494</v>
      </c>
      <c r="G19">
        <v>0</v>
      </c>
      <c r="H19">
        <v>5</v>
      </c>
      <c r="I19" t="s">
        <v>15</v>
      </c>
      <c r="J19" t="str">
        <f t="shared" si="0"/>
        <v>Junior</v>
      </c>
    </row>
    <row r="20" spans="1:10" x14ac:dyDescent="0.25">
      <c r="A20">
        <v>1019</v>
      </c>
      <c r="B20">
        <v>26</v>
      </c>
      <c r="C20" t="s">
        <v>4</v>
      </c>
      <c r="D20" t="s">
        <v>8</v>
      </c>
      <c r="E20" t="s">
        <v>9</v>
      </c>
      <c r="F20">
        <v>75978</v>
      </c>
      <c r="G20">
        <v>12</v>
      </c>
      <c r="H20">
        <v>5</v>
      </c>
      <c r="I20" t="s">
        <v>7</v>
      </c>
      <c r="J20" t="str">
        <f t="shared" si="0"/>
        <v>Senior</v>
      </c>
    </row>
    <row r="21" spans="1:10" ht="15.75" customHeight="1" x14ac:dyDescent="0.25">
      <c r="A21">
        <v>1020</v>
      </c>
      <c r="B21">
        <v>36</v>
      </c>
      <c r="C21" t="s">
        <v>10</v>
      </c>
      <c r="D21" t="s">
        <v>8</v>
      </c>
      <c r="E21" t="s">
        <v>13</v>
      </c>
      <c r="F21">
        <v>112005</v>
      </c>
      <c r="G21">
        <v>19</v>
      </c>
      <c r="H21">
        <v>2</v>
      </c>
      <c r="I21" t="s">
        <v>7</v>
      </c>
      <c r="J21" t="str">
        <f t="shared" si="0"/>
        <v>Senior</v>
      </c>
    </row>
    <row r="22" spans="1:10" ht="15.75" customHeight="1" x14ac:dyDescent="0.25">
      <c r="A22">
        <v>1021</v>
      </c>
      <c r="B22">
        <v>57</v>
      </c>
      <c r="C22" t="s">
        <v>4</v>
      </c>
      <c r="D22" t="s">
        <v>16</v>
      </c>
      <c r="E22" t="s">
        <v>17</v>
      </c>
      <c r="F22">
        <v>77247</v>
      </c>
      <c r="G22">
        <v>9</v>
      </c>
      <c r="H22">
        <v>1</v>
      </c>
      <c r="I22" t="s">
        <v>15</v>
      </c>
      <c r="J22" t="str">
        <f t="shared" si="0"/>
        <v>Senior</v>
      </c>
    </row>
    <row r="23" spans="1:10" ht="15.75" customHeight="1" x14ac:dyDescent="0.25">
      <c r="A23">
        <v>1022</v>
      </c>
      <c r="B23">
        <v>31</v>
      </c>
      <c r="C23" t="s">
        <v>4</v>
      </c>
      <c r="D23" t="s">
        <v>21</v>
      </c>
      <c r="E23" t="s">
        <v>24</v>
      </c>
      <c r="F23">
        <v>20351</v>
      </c>
      <c r="G23">
        <v>10</v>
      </c>
      <c r="H23">
        <v>2</v>
      </c>
      <c r="I23" t="s">
        <v>7</v>
      </c>
      <c r="J23" t="str">
        <f t="shared" si="0"/>
        <v>Senior</v>
      </c>
    </row>
    <row r="24" spans="1:10" ht="15.75" customHeight="1" x14ac:dyDescent="0.25">
      <c r="A24">
        <v>1023</v>
      </c>
      <c r="B24">
        <v>38</v>
      </c>
      <c r="C24" t="s">
        <v>10</v>
      </c>
      <c r="D24" t="s">
        <v>11</v>
      </c>
      <c r="E24" t="s">
        <v>14</v>
      </c>
      <c r="F24">
        <v>32852</v>
      </c>
      <c r="G24">
        <v>11</v>
      </c>
      <c r="H24">
        <v>5</v>
      </c>
      <c r="I24" t="s">
        <v>7</v>
      </c>
      <c r="J24" t="str">
        <f t="shared" si="0"/>
        <v>Senior</v>
      </c>
    </row>
    <row r="25" spans="1:10" ht="15.75" customHeight="1" x14ac:dyDescent="0.25">
      <c r="A25">
        <v>1024</v>
      </c>
      <c r="B25">
        <v>46</v>
      </c>
      <c r="C25" t="s">
        <v>4</v>
      </c>
      <c r="D25" t="s">
        <v>16</v>
      </c>
      <c r="E25" t="s">
        <v>25</v>
      </c>
      <c r="F25">
        <v>87449</v>
      </c>
      <c r="G25">
        <v>12</v>
      </c>
      <c r="H25">
        <v>3</v>
      </c>
      <c r="I25" t="s">
        <v>15</v>
      </c>
      <c r="J25" t="str">
        <f t="shared" si="0"/>
        <v>Senior</v>
      </c>
    </row>
    <row r="26" spans="1:10" ht="15.75" customHeight="1" x14ac:dyDescent="0.25">
      <c r="A26">
        <v>1025</v>
      </c>
      <c r="B26">
        <v>26</v>
      </c>
      <c r="C26" t="s">
        <v>10</v>
      </c>
      <c r="D26" t="s">
        <v>8</v>
      </c>
      <c r="E26" t="s">
        <v>9</v>
      </c>
      <c r="F26">
        <v>101822</v>
      </c>
      <c r="G26">
        <v>2</v>
      </c>
      <c r="H26">
        <v>2</v>
      </c>
      <c r="I26" t="s">
        <v>7</v>
      </c>
      <c r="J26" t="str">
        <f t="shared" si="0"/>
        <v>Junior</v>
      </c>
    </row>
    <row r="27" spans="1:10" ht="15.75" customHeight="1" x14ac:dyDescent="0.25">
      <c r="A27">
        <v>1026</v>
      </c>
      <c r="B27">
        <v>52</v>
      </c>
      <c r="C27" t="s">
        <v>10</v>
      </c>
      <c r="D27" t="s">
        <v>5</v>
      </c>
      <c r="E27" t="s">
        <v>6</v>
      </c>
      <c r="F27">
        <v>86789</v>
      </c>
      <c r="G27">
        <v>11</v>
      </c>
      <c r="H27">
        <v>5</v>
      </c>
      <c r="I27" t="s">
        <v>7</v>
      </c>
      <c r="J27" t="str">
        <f t="shared" si="0"/>
        <v>Senior</v>
      </c>
    </row>
    <row r="28" spans="1:10" ht="15.75" customHeight="1" x14ac:dyDescent="0.25">
      <c r="A28">
        <v>1027</v>
      </c>
      <c r="B28">
        <v>29</v>
      </c>
      <c r="C28" t="s">
        <v>4</v>
      </c>
      <c r="D28" t="s">
        <v>16</v>
      </c>
      <c r="E28" t="s">
        <v>25</v>
      </c>
      <c r="F28">
        <v>52466</v>
      </c>
      <c r="G28">
        <v>5</v>
      </c>
      <c r="H28">
        <v>5</v>
      </c>
      <c r="I28" t="s">
        <v>7</v>
      </c>
      <c r="J28" t="str">
        <f t="shared" si="0"/>
        <v>Mid-Level</v>
      </c>
    </row>
    <row r="29" spans="1:10" ht="15.75" customHeight="1" x14ac:dyDescent="0.25">
      <c r="A29">
        <v>1028</v>
      </c>
      <c r="B29">
        <v>35</v>
      </c>
      <c r="C29" t="s">
        <v>10</v>
      </c>
      <c r="D29" t="s">
        <v>21</v>
      </c>
      <c r="E29" t="s">
        <v>24</v>
      </c>
      <c r="F29">
        <v>68170</v>
      </c>
      <c r="G29">
        <v>12</v>
      </c>
      <c r="H29">
        <v>3</v>
      </c>
      <c r="I29" t="s">
        <v>15</v>
      </c>
      <c r="J29" t="str">
        <f t="shared" si="0"/>
        <v>Senior</v>
      </c>
    </row>
    <row r="30" spans="1:10" ht="15.75" customHeight="1" x14ac:dyDescent="0.25">
      <c r="A30">
        <v>1029</v>
      </c>
      <c r="B30">
        <v>47</v>
      </c>
      <c r="C30" t="s">
        <v>4</v>
      </c>
      <c r="D30" t="s">
        <v>5</v>
      </c>
      <c r="E30" t="s">
        <v>20</v>
      </c>
      <c r="F30">
        <v>74857</v>
      </c>
      <c r="G30">
        <v>1</v>
      </c>
      <c r="H30">
        <v>4</v>
      </c>
      <c r="I30" t="s">
        <v>7</v>
      </c>
      <c r="J30" t="str">
        <f t="shared" si="0"/>
        <v>Junior</v>
      </c>
    </row>
    <row r="31" spans="1:10" ht="15.75" customHeight="1" x14ac:dyDescent="0.25">
      <c r="A31">
        <v>1030</v>
      </c>
      <c r="B31">
        <v>58</v>
      </c>
      <c r="C31" t="s">
        <v>10</v>
      </c>
      <c r="D31" t="s">
        <v>18</v>
      </c>
      <c r="E31" t="s">
        <v>23</v>
      </c>
      <c r="F31">
        <v>86919</v>
      </c>
      <c r="G31">
        <v>15</v>
      </c>
      <c r="H31">
        <v>3</v>
      </c>
      <c r="I31" t="s">
        <v>7</v>
      </c>
      <c r="J31" t="str">
        <f t="shared" si="0"/>
        <v>Senior</v>
      </c>
    </row>
    <row r="32" spans="1:10" ht="15.75" customHeight="1" x14ac:dyDescent="0.25">
      <c r="A32">
        <v>1031</v>
      </c>
      <c r="B32">
        <v>53</v>
      </c>
      <c r="C32" t="s">
        <v>4</v>
      </c>
      <c r="D32" t="s">
        <v>5</v>
      </c>
      <c r="E32" t="s">
        <v>26</v>
      </c>
      <c r="F32">
        <v>117034</v>
      </c>
      <c r="G32">
        <v>8</v>
      </c>
      <c r="H32">
        <v>1</v>
      </c>
      <c r="I32" t="s">
        <v>7</v>
      </c>
      <c r="J32" t="str">
        <f t="shared" si="0"/>
        <v>Senior</v>
      </c>
    </row>
    <row r="33" spans="1:10" ht="15.75" customHeight="1" x14ac:dyDescent="0.25">
      <c r="A33">
        <v>1032</v>
      </c>
      <c r="B33">
        <v>47</v>
      </c>
      <c r="C33" t="s">
        <v>10</v>
      </c>
      <c r="D33" t="s">
        <v>21</v>
      </c>
      <c r="E33" t="s">
        <v>24</v>
      </c>
      <c r="F33">
        <v>116535</v>
      </c>
      <c r="G33">
        <v>16</v>
      </c>
      <c r="H33">
        <v>5</v>
      </c>
      <c r="I33" t="s">
        <v>7</v>
      </c>
      <c r="J33" t="str">
        <f t="shared" si="0"/>
        <v>Senior</v>
      </c>
    </row>
    <row r="34" spans="1:10" ht="15.75" customHeight="1" x14ac:dyDescent="0.25">
      <c r="A34">
        <v>1033</v>
      </c>
      <c r="B34">
        <v>28</v>
      </c>
      <c r="C34" t="s">
        <v>10</v>
      </c>
      <c r="D34" t="s">
        <v>11</v>
      </c>
      <c r="E34" t="s">
        <v>12</v>
      </c>
      <c r="F34">
        <v>113176</v>
      </c>
      <c r="G34">
        <v>15</v>
      </c>
      <c r="H34">
        <v>1</v>
      </c>
      <c r="I34" t="s">
        <v>7</v>
      </c>
      <c r="J34" t="str">
        <f t="shared" si="0"/>
        <v>Senior</v>
      </c>
    </row>
    <row r="35" spans="1:10" ht="15.75" customHeight="1" x14ac:dyDescent="0.25">
      <c r="A35">
        <v>1034</v>
      </c>
      <c r="B35">
        <v>42</v>
      </c>
      <c r="C35" t="s">
        <v>4</v>
      </c>
      <c r="D35" t="s">
        <v>21</v>
      </c>
      <c r="E35" t="s">
        <v>22</v>
      </c>
      <c r="F35">
        <v>72575</v>
      </c>
      <c r="G35">
        <v>18</v>
      </c>
      <c r="H35">
        <v>4</v>
      </c>
      <c r="I35" t="s">
        <v>7</v>
      </c>
      <c r="J35" t="str">
        <f t="shared" si="0"/>
        <v>Senior</v>
      </c>
    </row>
    <row r="36" spans="1:10" ht="15.75" customHeight="1" x14ac:dyDescent="0.25">
      <c r="A36">
        <v>1035</v>
      </c>
      <c r="B36">
        <v>39</v>
      </c>
      <c r="C36" t="s">
        <v>10</v>
      </c>
      <c r="D36" t="s">
        <v>11</v>
      </c>
      <c r="E36" t="s">
        <v>12</v>
      </c>
      <c r="F36">
        <v>113431</v>
      </c>
      <c r="G36">
        <v>2</v>
      </c>
      <c r="H36">
        <v>2</v>
      </c>
      <c r="I36" t="s">
        <v>7</v>
      </c>
      <c r="J36" t="str">
        <f t="shared" si="0"/>
        <v>Junior</v>
      </c>
    </row>
    <row r="37" spans="1:10" ht="15.75" customHeight="1" x14ac:dyDescent="0.25">
      <c r="A37">
        <v>1036</v>
      </c>
      <c r="B37">
        <v>52</v>
      </c>
      <c r="C37" t="s">
        <v>10</v>
      </c>
      <c r="D37" t="s">
        <v>21</v>
      </c>
      <c r="E37" t="s">
        <v>22</v>
      </c>
      <c r="F37">
        <v>106998</v>
      </c>
      <c r="G37">
        <v>9</v>
      </c>
      <c r="H37">
        <v>4</v>
      </c>
      <c r="I37" t="s">
        <v>7</v>
      </c>
      <c r="J37" t="str">
        <f t="shared" si="0"/>
        <v>Senior</v>
      </c>
    </row>
    <row r="38" spans="1:10" ht="15.75" customHeight="1" x14ac:dyDescent="0.25">
      <c r="A38">
        <v>1037</v>
      </c>
      <c r="B38">
        <v>30</v>
      </c>
      <c r="C38" t="s">
        <v>10</v>
      </c>
      <c r="D38" t="s">
        <v>8</v>
      </c>
      <c r="E38" t="s">
        <v>9</v>
      </c>
      <c r="F38">
        <v>84282</v>
      </c>
      <c r="G38">
        <v>19</v>
      </c>
      <c r="H38">
        <v>5</v>
      </c>
      <c r="I38" t="s">
        <v>7</v>
      </c>
      <c r="J38" t="str">
        <f t="shared" si="0"/>
        <v>Senior</v>
      </c>
    </row>
    <row r="39" spans="1:10" ht="15.75" customHeight="1" x14ac:dyDescent="0.25">
      <c r="A39">
        <v>1038</v>
      </c>
      <c r="B39">
        <v>42</v>
      </c>
      <c r="C39" t="s">
        <v>4</v>
      </c>
      <c r="D39" t="s">
        <v>5</v>
      </c>
      <c r="E39" t="s">
        <v>26</v>
      </c>
      <c r="F39">
        <v>64263</v>
      </c>
      <c r="G39">
        <v>5</v>
      </c>
      <c r="H39">
        <v>1</v>
      </c>
      <c r="I39" t="s">
        <v>7</v>
      </c>
      <c r="J39" t="str">
        <f t="shared" si="0"/>
        <v>Mid-Level</v>
      </c>
    </row>
    <row r="40" spans="1:10" ht="15.75" customHeight="1" x14ac:dyDescent="0.25">
      <c r="A40">
        <v>1039</v>
      </c>
      <c r="B40">
        <v>30</v>
      </c>
      <c r="C40" t="s">
        <v>4</v>
      </c>
      <c r="D40" t="s">
        <v>21</v>
      </c>
      <c r="E40" t="s">
        <v>22</v>
      </c>
      <c r="F40">
        <v>95401</v>
      </c>
      <c r="G40">
        <v>12</v>
      </c>
      <c r="H40">
        <v>2</v>
      </c>
      <c r="I40" t="s">
        <v>7</v>
      </c>
      <c r="J40" t="str">
        <f t="shared" si="0"/>
        <v>Senior</v>
      </c>
    </row>
    <row r="41" spans="1:10" ht="15.75" customHeight="1" x14ac:dyDescent="0.25">
      <c r="A41">
        <v>1040</v>
      </c>
      <c r="B41">
        <v>57</v>
      </c>
      <c r="C41" t="s">
        <v>4</v>
      </c>
      <c r="D41" t="s">
        <v>8</v>
      </c>
      <c r="E41" t="s">
        <v>9</v>
      </c>
      <c r="F41">
        <v>119457</v>
      </c>
      <c r="G41">
        <v>14</v>
      </c>
      <c r="H41">
        <v>2</v>
      </c>
      <c r="I41" t="s">
        <v>7</v>
      </c>
      <c r="J41" t="str">
        <f t="shared" si="0"/>
        <v>Senior</v>
      </c>
    </row>
    <row r="42" spans="1:10" ht="15.75" customHeight="1" x14ac:dyDescent="0.25">
      <c r="A42">
        <v>1041</v>
      </c>
      <c r="B42">
        <v>50</v>
      </c>
      <c r="C42" t="s">
        <v>10</v>
      </c>
      <c r="D42" t="s">
        <v>11</v>
      </c>
      <c r="E42" t="s">
        <v>14</v>
      </c>
      <c r="F42">
        <v>73186</v>
      </c>
      <c r="G42">
        <v>17</v>
      </c>
      <c r="H42">
        <v>4</v>
      </c>
      <c r="I42" t="s">
        <v>7</v>
      </c>
      <c r="J42" t="str">
        <f t="shared" si="0"/>
        <v>Senior</v>
      </c>
    </row>
    <row r="43" spans="1:10" ht="15.75" customHeight="1" x14ac:dyDescent="0.25">
      <c r="A43">
        <v>1042</v>
      </c>
      <c r="B43">
        <v>42</v>
      </c>
      <c r="C43" t="s">
        <v>4</v>
      </c>
      <c r="D43" t="s">
        <v>8</v>
      </c>
      <c r="E43" t="s">
        <v>9</v>
      </c>
      <c r="F43">
        <v>81455</v>
      </c>
      <c r="G43">
        <v>12</v>
      </c>
      <c r="H43">
        <v>3</v>
      </c>
      <c r="I43" t="s">
        <v>7</v>
      </c>
      <c r="J43" t="str">
        <f t="shared" si="0"/>
        <v>Senior</v>
      </c>
    </row>
    <row r="44" spans="1:10" ht="15.75" customHeight="1" x14ac:dyDescent="0.25">
      <c r="A44">
        <v>1043</v>
      </c>
      <c r="B44">
        <v>30</v>
      </c>
      <c r="C44" t="s">
        <v>4</v>
      </c>
      <c r="D44" t="s">
        <v>16</v>
      </c>
      <c r="E44" t="s">
        <v>25</v>
      </c>
      <c r="F44">
        <v>105252</v>
      </c>
      <c r="G44">
        <v>11</v>
      </c>
      <c r="H44">
        <v>4</v>
      </c>
      <c r="I44" t="s">
        <v>7</v>
      </c>
      <c r="J44" t="str">
        <f t="shared" si="0"/>
        <v>Senior</v>
      </c>
    </row>
    <row r="45" spans="1:10" ht="15.75" customHeight="1" x14ac:dyDescent="0.25">
      <c r="A45">
        <v>1044</v>
      </c>
      <c r="B45">
        <v>31</v>
      </c>
      <c r="C45" t="s">
        <v>10</v>
      </c>
      <c r="D45" t="s">
        <v>16</v>
      </c>
      <c r="E45" t="s">
        <v>25</v>
      </c>
      <c r="F45">
        <v>23325</v>
      </c>
      <c r="G45">
        <v>6</v>
      </c>
      <c r="H45">
        <v>5</v>
      </c>
      <c r="I45" t="s">
        <v>7</v>
      </c>
      <c r="J45" t="str">
        <f t="shared" si="0"/>
        <v>Mid-Level</v>
      </c>
    </row>
    <row r="46" spans="1:10" ht="15.75" customHeight="1" x14ac:dyDescent="0.25">
      <c r="A46">
        <v>1045</v>
      </c>
      <c r="B46">
        <v>27</v>
      </c>
      <c r="C46" t="s">
        <v>4</v>
      </c>
      <c r="D46" t="s">
        <v>21</v>
      </c>
      <c r="E46" t="s">
        <v>22</v>
      </c>
      <c r="F46">
        <v>30754</v>
      </c>
      <c r="G46">
        <v>2</v>
      </c>
      <c r="H46">
        <v>4</v>
      </c>
      <c r="I46" t="s">
        <v>7</v>
      </c>
      <c r="J46" t="str">
        <f t="shared" si="0"/>
        <v>Junior</v>
      </c>
    </row>
    <row r="47" spans="1:10" ht="15.75" customHeight="1" x14ac:dyDescent="0.25">
      <c r="A47">
        <v>1046</v>
      </c>
      <c r="B47">
        <v>52</v>
      </c>
      <c r="C47" t="s">
        <v>10</v>
      </c>
      <c r="D47" t="s">
        <v>21</v>
      </c>
      <c r="E47" t="s">
        <v>24</v>
      </c>
      <c r="F47">
        <v>117993</v>
      </c>
      <c r="G47">
        <v>10</v>
      </c>
      <c r="H47">
        <v>1</v>
      </c>
      <c r="I47" t="s">
        <v>7</v>
      </c>
      <c r="J47" t="str">
        <f t="shared" si="0"/>
        <v>Senior</v>
      </c>
    </row>
    <row r="48" spans="1:10" ht="15.75" customHeight="1" x14ac:dyDescent="0.25">
      <c r="A48">
        <v>1047</v>
      </c>
      <c r="B48">
        <v>36</v>
      </c>
      <c r="C48" t="s">
        <v>10</v>
      </c>
      <c r="D48" t="s">
        <v>18</v>
      </c>
      <c r="E48" t="s">
        <v>23</v>
      </c>
      <c r="F48">
        <v>31977</v>
      </c>
      <c r="G48">
        <v>9</v>
      </c>
      <c r="H48">
        <v>5</v>
      </c>
      <c r="I48" t="s">
        <v>15</v>
      </c>
      <c r="J48" t="str">
        <f t="shared" si="0"/>
        <v>Senior</v>
      </c>
    </row>
    <row r="49" spans="1:10" ht="15.75" customHeight="1" x14ac:dyDescent="0.25">
      <c r="A49">
        <v>1048</v>
      </c>
      <c r="B49">
        <v>24</v>
      </c>
      <c r="C49" t="s">
        <v>4</v>
      </c>
      <c r="D49" t="s">
        <v>16</v>
      </c>
      <c r="E49" t="s">
        <v>25</v>
      </c>
      <c r="F49">
        <v>51517</v>
      </c>
      <c r="G49">
        <v>12</v>
      </c>
      <c r="H49">
        <v>2</v>
      </c>
      <c r="I49" t="s">
        <v>7</v>
      </c>
      <c r="J49" t="str">
        <f t="shared" si="0"/>
        <v>Senior</v>
      </c>
    </row>
    <row r="50" spans="1:10" ht="15.75" customHeight="1" x14ac:dyDescent="0.25">
      <c r="A50">
        <v>1049</v>
      </c>
      <c r="B50">
        <v>26</v>
      </c>
      <c r="C50" t="s">
        <v>10</v>
      </c>
      <c r="D50" t="s">
        <v>8</v>
      </c>
      <c r="E50" t="s">
        <v>9</v>
      </c>
      <c r="F50">
        <v>105825</v>
      </c>
      <c r="G50">
        <v>10</v>
      </c>
      <c r="H50">
        <v>5</v>
      </c>
      <c r="I50" t="s">
        <v>15</v>
      </c>
      <c r="J50" t="str">
        <f t="shared" si="0"/>
        <v>Senior</v>
      </c>
    </row>
    <row r="51" spans="1:10" ht="15.75" customHeight="1" x14ac:dyDescent="0.25">
      <c r="A51">
        <v>1050</v>
      </c>
      <c r="B51">
        <v>51</v>
      </c>
      <c r="C51" t="s">
        <v>4</v>
      </c>
      <c r="D51" t="s">
        <v>8</v>
      </c>
      <c r="E51" t="s">
        <v>13</v>
      </c>
      <c r="F51">
        <v>55830</v>
      </c>
      <c r="G51">
        <v>18</v>
      </c>
      <c r="H51">
        <v>4</v>
      </c>
      <c r="I51" t="s">
        <v>7</v>
      </c>
      <c r="J51" t="str">
        <f t="shared" si="0"/>
        <v>Senior</v>
      </c>
    </row>
    <row r="52" spans="1:10" ht="15.75" customHeight="1" x14ac:dyDescent="0.25">
      <c r="A52">
        <v>1051</v>
      </c>
      <c r="B52">
        <v>31</v>
      </c>
      <c r="C52" t="s">
        <v>10</v>
      </c>
      <c r="D52" t="s">
        <v>5</v>
      </c>
      <c r="E52" t="s">
        <v>6</v>
      </c>
      <c r="F52">
        <v>114423</v>
      </c>
      <c r="G52">
        <v>16</v>
      </c>
      <c r="H52">
        <v>2</v>
      </c>
      <c r="I52" t="s">
        <v>7</v>
      </c>
      <c r="J52" t="str">
        <f t="shared" si="0"/>
        <v>Senior</v>
      </c>
    </row>
    <row r="53" spans="1:10" ht="15.75" customHeight="1" x14ac:dyDescent="0.25">
      <c r="A53">
        <v>1052</v>
      </c>
      <c r="B53">
        <v>55</v>
      </c>
      <c r="C53" t="s">
        <v>10</v>
      </c>
      <c r="D53" t="s">
        <v>8</v>
      </c>
      <c r="E53" t="s">
        <v>13</v>
      </c>
      <c r="F53">
        <v>86849</v>
      </c>
      <c r="G53">
        <v>5</v>
      </c>
      <c r="H53">
        <v>4</v>
      </c>
      <c r="I53" t="s">
        <v>7</v>
      </c>
      <c r="J53" t="str">
        <f t="shared" si="0"/>
        <v>Mid-Level</v>
      </c>
    </row>
    <row r="54" spans="1:10" ht="15.75" customHeight="1" x14ac:dyDescent="0.25">
      <c r="A54">
        <v>1053</v>
      </c>
      <c r="B54">
        <v>38</v>
      </c>
      <c r="C54" t="s">
        <v>4</v>
      </c>
      <c r="D54" t="s">
        <v>5</v>
      </c>
      <c r="E54" t="s">
        <v>26</v>
      </c>
      <c r="F54">
        <v>78247</v>
      </c>
      <c r="G54">
        <v>5</v>
      </c>
      <c r="H54">
        <v>5</v>
      </c>
      <c r="I54" t="s">
        <v>7</v>
      </c>
      <c r="J54" t="str">
        <f t="shared" si="0"/>
        <v>Mid-Level</v>
      </c>
    </row>
    <row r="55" spans="1:10" ht="15.75" customHeight="1" x14ac:dyDescent="0.25">
      <c r="A55">
        <v>1054</v>
      </c>
      <c r="B55">
        <v>51</v>
      </c>
      <c r="C55" t="s">
        <v>4</v>
      </c>
      <c r="D55" t="s">
        <v>16</v>
      </c>
      <c r="E55" t="s">
        <v>17</v>
      </c>
      <c r="F55">
        <v>77245</v>
      </c>
      <c r="G55">
        <v>13</v>
      </c>
      <c r="H55">
        <v>4</v>
      </c>
      <c r="I55" t="s">
        <v>7</v>
      </c>
      <c r="J55" t="str">
        <f t="shared" si="0"/>
        <v>Senior</v>
      </c>
    </row>
    <row r="56" spans="1:10" ht="15.75" customHeight="1" x14ac:dyDescent="0.25">
      <c r="A56">
        <v>1055</v>
      </c>
      <c r="B56">
        <v>30</v>
      </c>
      <c r="C56" t="s">
        <v>4</v>
      </c>
      <c r="D56" t="s">
        <v>8</v>
      </c>
      <c r="E56" t="s">
        <v>9</v>
      </c>
      <c r="F56">
        <v>105413</v>
      </c>
      <c r="G56">
        <v>5</v>
      </c>
      <c r="H56">
        <v>2</v>
      </c>
      <c r="I56" t="s">
        <v>7</v>
      </c>
      <c r="J56" t="str">
        <f t="shared" si="0"/>
        <v>Mid-Level</v>
      </c>
    </row>
    <row r="57" spans="1:10" ht="15.75" customHeight="1" x14ac:dyDescent="0.25">
      <c r="A57">
        <v>1056</v>
      </c>
      <c r="B57">
        <v>32</v>
      </c>
      <c r="C57" t="s">
        <v>4</v>
      </c>
      <c r="D57" t="s">
        <v>5</v>
      </c>
      <c r="E57" t="s">
        <v>6</v>
      </c>
      <c r="F57">
        <v>104149</v>
      </c>
      <c r="G57">
        <v>17</v>
      </c>
      <c r="H57">
        <v>2</v>
      </c>
      <c r="I57" t="s">
        <v>7</v>
      </c>
      <c r="J57" t="str">
        <f t="shared" si="0"/>
        <v>Senior</v>
      </c>
    </row>
    <row r="58" spans="1:10" ht="15.75" customHeight="1" x14ac:dyDescent="0.25">
      <c r="A58">
        <v>1057</v>
      </c>
      <c r="B58">
        <v>31</v>
      </c>
      <c r="C58" t="s">
        <v>10</v>
      </c>
      <c r="D58" t="s">
        <v>11</v>
      </c>
      <c r="E58" t="s">
        <v>12</v>
      </c>
      <c r="F58">
        <v>27141</v>
      </c>
      <c r="G58">
        <v>15</v>
      </c>
      <c r="H58">
        <v>4</v>
      </c>
      <c r="I58" t="s">
        <v>7</v>
      </c>
      <c r="J58" t="str">
        <f t="shared" si="0"/>
        <v>Senior</v>
      </c>
    </row>
    <row r="59" spans="1:10" ht="15.75" customHeight="1" x14ac:dyDescent="0.25">
      <c r="A59">
        <v>1058</v>
      </c>
      <c r="B59">
        <v>35</v>
      </c>
      <c r="C59" t="s">
        <v>10</v>
      </c>
      <c r="D59" t="s">
        <v>11</v>
      </c>
      <c r="E59" t="s">
        <v>12</v>
      </c>
      <c r="F59">
        <v>37683</v>
      </c>
      <c r="G59">
        <v>0</v>
      </c>
      <c r="H59">
        <v>4</v>
      </c>
      <c r="I59" t="s">
        <v>7</v>
      </c>
      <c r="J59" t="str">
        <f t="shared" si="0"/>
        <v>Junior</v>
      </c>
    </row>
    <row r="60" spans="1:10" ht="15.75" customHeight="1" x14ac:dyDescent="0.25">
      <c r="A60">
        <v>1059</v>
      </c>
      <c r="B60">
        <v>22</v>
      </c>
      <c r="C60" t="s">
        <v>4</v>
      </c>
      <c r="D60" t="s">
        <v>8</v>
      </c>
      <c r="E60" t="s">
        <v>13</v>
      </c>
      <c r="F60">
        <v>58450</v>
      </c>
      <c r="G60">
        <v>11</v>
      </c>
      <c r="H60">
        <v>3</v>
      </c>
      <c r="I60" t="s">
        <v>7</v>
      </c>
      <c r="J60" t="str">
        <f t="shared" si="0"/>
        <v>Senior</v>
      </c>
    </row>
    <row r="61" spans="1:10" ht="15.75" customHeight="1" x14ac:dyDescent="0.25">
      <c r="A61">
        <v>1060</v>
      </c>
      <c r="B61">
        <v>47</v>
      </c>
      <c r="C61" t="s">
        <v>4</v>
      </c>
      <c r="D61" t="s">
        <v>16</v>
      </c>
      <c r="E61" t="s">
        <v>17</v>
      </c>
      <c r="F61">
        <v>88615</v>
      </c>
      <c r="G61">
        <v>5</v>
      </c>
      <c r="H61">
        <v>5</v>
      </c>
      <c r="I61" t="s">
        <v>7</v>
      </c>
      <c r="J61" t="str">
        <f t="shared" si="0"/>
        <v>Mid-Level</v>
      </c>
    </row>
    <row r="62" spans="1:10" ht="15.75" customHeight="1" x14ac:dyDescent="0.25">
      <c r="A62">
        <v>1061</v>
      </c>
      <c r="B62">
        <v>42</v>
      </c>
      <c r="C62" t="s">
        <v>4</v>
      </c>
      <c r="D62" t="s">
        <v>5</v>
      </c>
      <c r="E62" t="s">
        <v>6</v>
      </c>
      <c r="F62">
        <v>31927</v>
      </c>
      <c r="G62">
        <v>3</v>
      </c>
      <c r="H62">
        <v>3</v>
      </c>
      <c r="I62" t="s">
        <v>15</v>
      </c>
      <c r="J62" t="str">
        <f t="shared" si="0"/>
        <v>Mid-Level</v>
      </c>
    </row>
    <row r="63" spans="1:10" ht="15.75" customHeight="1" x14ac:dyDescent="0.25">
      <c r="A63">
        <v>1062</v>
      </c>
      <c r="B63">
        <v>37</v>
      </c>
      <c r="C63" t="s">
        <v>4</v>
      </c>
      <c r="D63" t="s">
        <v>5</v>
      </c>
      <c r="E63" t="s">
        <v>26</v>
      </c>
      <c r="F63">
        <v>107279</v>
      </c>
      <c r="G63">
        <v>18</v>
      </c>
      <c r="H63">
        <v>3</v>
      </c>
      <c r="I63" t="s">
        <v>7</v>
      </c>
      <c r="J63" t="str">
        <f t="shared" si="0"/>
        <v>Senior</v>
      </c>
    </row>
    <row r="64" spans="1:10" ht="15.75" customHeight="1" x14ac:dyDescent="0.25">
      <c r="A64">
        <v>1063</v>
      </c>
      <c r="B64">
        <v>36</v>
      </c>
      <c r="C64" t="s">
        <v>4</v>
      </c>
      <c r="D64" t="s">
        <v>21</v>
      </c>
      <c r="E64" t="s">
        <v>24</v>
      </c>
      <c r="F64">
        <v>119967</v>
      </c>
      <c r="G64">
        <v>4</v>
      </c>
      <c r="H64">
        <v>5</v>
      </c>
      <c r="I64" t="s">
        <v>7</v>
      </c>
      <c r="J64" t="str">
        <f t="shared" si="0"/>
        <v>Mid-Level</v>
      </c>
    </row>
    <row r="65" spans="1:10" ht="15.75" customHeight="1" x14ac:dyDescent="0.25">
      <c r="A65">
        <v>1064</v>
      </c>
      <c r="B65">
        <v>52</v>
      </c>
      <c r="C65" t="s">
        <v>10</v>
      </c>
      <c r="D65" t="s">
        <v>16</v>
      </c>
      <c r="E65" t="s">
        <v>25</v>
      </c>
      <c r="F65">
        <v>46243</v>
      </c>
      <c r="G65">
        <v>7</v>
      </c>
      <c r="H65">
        <v>2</v>
      </c>
      <c r="I65" t="s">
        <v>15</v>
      </c>
      <c r="J65" t="str">
        <f t="shared" si="0"/>
        <v>Senior</v>
      </c>
    </row>
    <row r="66" spans="1:10" ht="15.75" customHeight="1" x14ac:dyDescent="0.25">
      <c r="A66">
        <v>1065</v>
      </c>
      <c r="B66">
        <v>28</v>
      </c>
      <c r="C66" t="s">
        <v>10</v>
      </c>
      <c r="D66" t="s">
        <v>8</v>
      </c>
      <c r="E66" t="s">
        <v>9</v>
      </c>
      <c r="F66">
        <v>88017</v>
      </c>
      <c r="G66">
        <v>10</v>
      </c>
      <c r="H66">
        <v>4</v>
      </c>
      <c r="I66" t="s">
        <v>7</v>
      </c>
      <c r="J66" t="str">
        <f t="shared" ref="J66:J129" si="1">IF(G66&lt;3,"Junior",IF(G66&lt;7,"Mid-Level","Senior"))</f>
        <v>Senior</v>
      </c>
    </row>
    <row r="67" spans="1:10" ht="15.75" customHeight="1" x14ac:dyDescent="0.25">
      <c r="A67">
        <v>1066</v>
      </c>
      <c r="B67">
        <v>45</v>
      </c>
      <c r="C67" t="s">
        <v>10</v>
      </c>
      <c r="D67" t="s">
        <v>18</v>
      </c>
      <c r="E67" t="s">
        <v>19</v>
      </c>
      <c r="F67">
        <v>45667</v>
      </c>
      <c r="G67">
        <v>20</v>
      </c>
      <c r="H67">
        <v>2</v>
      </c>
      <c r="I67" t="s">
        <v>7</v>
      </c>
      <c r="J67" t="str">
        <f t="shared" si="1"/>
        <v>Senior</v>
      </c>
    </row>
    <row r="68" spans="1:10" ht="15.75" customHeight="1" x14ac:dyDescent="0.25">
      <c r="A68">
        <v>1067</v>
      </c>
      <c r="B68">
        <v>58</v>
      </c>
      <c r="C68" t="s">
        <v>10</v>
      </c>
      <c r="D68" t="s">
        <v>11</v>
      </c>
      <c r="E68" t="s">
        <v>14</v>
      </c>
      <c r="F68">
        <v>22887</v>
      </c>
      <c r="G68">
        <v>20</v>
      </c>
      <c r="H68">
        <v>4</v>
      </c>
      <c r="I68" t="s">
        <v>7</v>
      </c>
      <c r="J68" t="str">
        <f t="shared" si="1"/>
        <v>Senior</v>
      </c>
    </row>
    <row r="69" spans="1:10" ht="15.75" customHeight="1" x14ac:dyDescent="0.25">
      <c r="A69">
        <v>1068</v>
      </c>
      <c r="B69">
        <v>41</v>
      </c>
      <c r="C69" t="s">
        <v>10</v>
      </c>
      <c r="D69" t="s">
        <v>16</v>
      </c>
      <c r="E69" t="s">
        <v>25</v>
      </c>
      <c r="F69">
        <v>80391</v>
      </c>
      <c r="G69">
        <v>6</v>
      </c>
      <c r="H69">
        <v>3</v>
      </c>
      <c r="I69" t="s">
        <v>7</v>
      </c>
      <c r="J69" t="str">
        <f t="shared" si="1"/>
        <v>Mid-Level</v>
      </c>
    </row>
    <row r="70" spans="1:10" ht="15.75" customHeight="1" x14ac:dyDescent="0.25">
      <c r="A70">
        <v>1069</v>
      </c>
      <c r="B70">
        <v>48</v>
      </c>
      <c r="C70" t="s">
        <v>4</v>
      </c>
      <c r="D70" t="s">
        <v>16</v>
      </c>
      <c r="E70" t="s">
        <v>17</v>
      </c>
      <c r="F70">
        <v>20485</v>
      </c>
      <c r="G70">
        <v>8</v>
      </c>
      <c r="H70">
        <v>5</v>
      </c>
      <c r="I70" t="s">
        <v>7</v>
      </c>
      <c r="J70" t="str">
        <f t="shared" si="1"/>
        <v>Senior</v>
      </c>
    </row>
    <row r="71" spans="1:10" ht="15.75" customHeight="1" x14ac:dyDescent="0.25">
      <c r="A71">
        <v>1070</v>
      </c>
      <c r="B71">
        <v>48</v>
      </c>
      <c r="C71" t="s">
        <v>10</v>
      </c>
      <c r="D71" t="s">
        <v>21</v>
      </c>
      <c r="E71" t="s">
        <v>22</v>
      </c>
      <c r="F71">
        <v>34118</v>
      </c>
      <c r="G71">
        <v>10</v>
      </c>
      <c r="H71">
        <v>5</v>
      </c>
      <c r="I71" t="s">
        <v>7</v>
      </c>
      <c r="J71" t="str">
        <f t="shared" si="1"/>
        <v>Senior</v>
      </c>
    </row>
    <row r="72" spans="1:10" ht="15.75" customHeight="1" x14ac:dyDescent="0.25">
      <c r="A72">
        <v>1071</v>
      </c>
      <c r="B72">
        <v>43</v>
      </c>
      <c r="C72" t="s">
        <v>4</v>
      </c>
      <c r="D72" t="s">
        <v>16</v>
      </c>
      <c r="E72" t="s">
        <v>17</v>
      </c>
      <c r="F72">
        <v>22840</v>
      </c>
      <c r="G72">
        <v>13</v>
      </c>
      <c r="H72">
        <v>4</v>
      </c>
      <c r="I72" t="s">
        <v>7</v>
      </c>
      <c r="J72" t="str">
        <f t="shared" si="1"/>
        <v>Senior</v>
      </c>
    </row>
    <row r="73" spans="1:10" ht="15.75" customHeight="1" x14ac:dyDescent="0.25">
      <c r="A73">
        <v>1072</v>
      </c>
      <c r="B73">
        <v>28</v>
      </c>
      <c r="C73" t="s">
        <v>4</v>
      </c>
      <c r="D73" t="s">
        <v>11</v>
      </c>
      <c r="E73" t="s">
        <v>14</v>
      </c>
      <c r="F73">
        <v>21752</v>
      </c>
      <c r="G73">
        <v>12</v>
      </c>
      <c r="H73">
        <v>1</v>
      </c>
      <c r="I73" t="s">
        <v>15</v>
      </c>
      <c r="J73" t="str">
        <f t="shared" si="1"/>
        <v>Senior</v>
      </c>
    </row>
    <row r="74" spans="1:10" ht="15.75" customHeight="1" x14ac:dyDescent="0.25">
      <c r="A74">
        <v>1073</v>
      </c>
      <c r="B74">
        <v>43</v>
      </c>
      <c r="C74" t="s">
        <v>10</v>
      </c>
      <c r="D74" t="s">
        <v>5</v>
      </c>
      <c r="E74" t="s">
        <v>26</v>
      </c>
      <c r="F74">
        <v>60050</v>
      </c>
      <c r="G74">
        <v>2</v>
      </c>
      <c r="H74">
        <v>3</v>
      </c>
      <c r="I74" t="s">
        <v>7</v>
      </c>
      <c r="J74" t="str">
        <f t="shared" si="1"/>
        <v>Junior</v>
      </c>
    </row>
    <row r="75" spans="1:10" ht="15.75" customHeight="1" x14ac:dyDescent="0.25">
      <c r="A75">
        <v>1074</v>
      </c>
      <c r="B75">
        <v>39</v>
      </c>
      <c r="C75" t="s">
        <v>10</v>
      </c>
      <c r="D75" t="s">
        <v>8</v>
      </c>
      <c r="E75" t="s">
        <v>13</v>
      </c>
      <c r="F75">
        <v>103672</v>
      </c>
      <c r="G75">
        <v>7</v>
      </c>
      <c r="H75">
        <v>4</v>
      </c>
      <c r="I75" t="s">
        <v>7</v>
      </c>
      <c r="J75" t="str">
        <f t="shared" si="1"/>
        <v>Senior</v>
      </c>
    </row>
    <row r="76" spans="1:10" ht="15.75" customHeight="1" x14ac:dyDescent="0.25">
      <c r="A76">
        <v>1075</v>
      </c>
      <c r="B76">
        <v>48</v>
      </c>
      <c r="C76" t="s">
        <v>10</v>
      </c>
      <c r="D76" t="s">
        <v>16</v>
      </c>
      <c r="E76" t="s">
        <v>25</v>
      </c>
      <c r="F76">
        <v>73563</v>
      </c>
      <c r="G76">
        <v>7</v>
      </c>
      <c r="H76">
        <v>5</v>
      </c>
      <c r="I76" t="s">
        <v>7</v>
      </c>
      <c r="J76" t="str">
        <f t="shared" si="1"/>
        <v>Senior</v>
      </c>
    </row>
    <row r="77" spans="1:10" ht="15.75" customHeight="1" x14ac:dyDescent="0.25">
      <c r="A77">
        <v>1076</v>
      </c>
      <c r="B77">
        <v>48</v>
      </c>
      <c r="C77" t="s">
        <v>4</v>
      </c>
      <c r="D77" t="s">
        <v>21</v>
      </c>
      <c r="E77" t="s">
        <v>22</v>
      </c>
      <c r="F77">
        <v>35553</v>
      </c>
      <c r="G77">
        <v>4</v>
      </c>
      <c r="H77">
        <v>1</v>
      </c>
      <c r="I77" t="s">
        <v>7</v>
      </c>
      <c r="J77" t="str">
        <f t="shared" si="1"/>
        <v>Mid-Level</v>
      </c>
    </row>
    <row r="78" spans="1:10" ht="15.75" customHeight="1" x14ac:dyDescent="0.25">
      <c r="A78">
        <v>1077</v>
      </c>
      <c r="B78">
        <v>51</v>
      </c>
      <c r="C78" t="s">
        <v>10</v>
      </c>
      <c r="D78" t="s">
        <v>5</v>
      </c>
      <c r="E78" t="s">
        <v>26</v>
      </c>
      <c r="F78">
        <v>70524</v>
      </c>
      <c r="G78">
        <v>6</v>
      </c>
      <c r="H78">
        <v>2</v>
      </c>
      <c r="I78" t="s">
        <v>7</v>
      </c>
      <c r="J78" t="str">
        <f t="shared" si="1"/>
        <v>Mid-Level</v>
      </c>
    </row>
    <row r="79" spans="1:10" ht="15.75" customHeight="1" x14ac:dyDescent="0.25">
      <c r="A79">
        <v>1078</v>
      </c>
      <c r="B79">
        <v>23</v>
      </c>
      <c r="C79" t="s">
        <v>4</v>
      </c>
      <c r="D79" t="s">
        <v>18</v>
      </c>
      <c r="E79" t="s">
        <v>23</v>
      </c>
      <c r="F79">
        <v>71187</v>
      </c>
      <c r="G79">
        <v>4</v>
      </c>
      <c r="H79">
        <v>1</v>
      </c>
      <c r="I79" t="s">
        <v>7</v>
      </c>
      <c r="J79" t="str">
        <f t="shared" si="1"/>
        <v>Mid-Level</v>
      </c>
    </row>
    <row r="80" spans="1:10" ht="15.75" customHeight="1" x14ac:dyDescent="0.25">
      <c r="A80">
        <v>1079</v>
      </c>
      <c r="B80">
        <v>38</v>
      </c>
      <c r="C80" t="s">
        <v>10</v>
      </c>
      <c r="D80" t="s">
        <v>18</v>
      </c>
      <c r="E80" t="s">
        <v>23</v>
      </c>
      <c r="F80">
        <v>66268</v>
      </c>
      <c r="G80">
        <v>0</v>
      </c>
      <c r="H80">
        <v>5</v>
      </c>
      <c r="I80" t="s">
        <v>7</v>
      </c>
      <c r="J80" t="str">
        <f t="shared" si="1"/>
        <v>Junior</v>
      </c>
    </row>
    <row r="81" spans="1:10" ht="15.75" customHeight="1" x14ac:dyDescent="0.25">
      <c r="A81">
        <v>1080</v>
      </c>
      <c r="B81">
        <v>53</v>
      </c>
      <c r="C81" t="s">
        <v>10</v>
      </c>
      <c r="D81" t="s">
        <v>11</v>
      </c>
      <c r="E81" t="s">
        <v>14</v>
      </c>
      <c r="F81">
        <v>116494</v>
      </c>
      <c r="G81">
        <v>19</v>
      </c>
      <c r="H81">
        <v>4</v>
      </c>
      <c r="I81" t="s">
        <v>7</v>
      </c>
      <c r="J81" t="str">
        <f t="shared" si="1"/>
        <v>Senior</v>
      </c>
    </row>
    <row r="82" spans="1:10" ht="15.75" customHeight="1" x14ac:dyDescent="0.25">
      <c r="A82">
        <v>1081</v>
      </c>
      <c r="B82">
        <v>55</v>
      </c>
      <c r="C82" t="s">
        <v>10</v>
      </c>
      <c r="D82" t="s">
        <v>5</v>
      </c>
      <c r="E82" t="s">
        <v>6</v>
      </c>
      <c r="F82">
        <v>27193</v>
      </c>
      <c r="G82">
        <v>19</v>
      </c>
      <c r="H82">
        <v>1</v>
      </c>
      <c r="I82" t="s">
        <v>7</v>
      </c>
      <c r="J82" t="str">
        <f t="shared" si="1"/>
        <v>Senior</v>
      </c>
    </row>
    <row r="83" spans="1:10" ht="15.75" customHeight="1" x14ac:dyDescent="0.25">
      <c r="A83">
        <v>1082</v>
      </c>
      <c r="B83">
        <v>45</v>
      </c>
      <c r="C83" t="s">
        <v>10</v>
      </c>
      <c r="D83" t="s">
        <v>16</v>
      </c>
      <c r="E83" t="s">
        <v>25</v>
      </c>
      <c r="F83">
        <v>29842</v>
      </c>
      <c r="G83">
        <v>2</v>
      </c>
      <c r="H83">
        <v>1</v>
      </c>
      <c r="I83" t="s">
        <v>7</v>
      </c>
      <c r="J83" t="str">
        <f t="shared" si="1"/>
        <v>Junior</v>
      </c>
    </row>
    <row r="84" spans="1:10" ht="15.75" customHeight="1" x14ac:dyDescent="0.25">
      <c r="A84">
        <v>1083</v>
      </c>
      <c r="B84">
        <v>25</v>
      </c>
      <c r="C84" t="s">
        <v>4</v>
      </c>
      <c r="D84" t="s">
        <v>5</v>
      </c>
      <c r="E84" t="s">
        <v>20</v>
      </c>
      <c r="F84">
        <v>63411</v>
      </c>
      <c r="G84">
        <v>3</v>
      </c>
      <c r="H84">
        <v>4</v>
      </c>
      <c r="I84" t="s">
        <v>7</v>
      </c>
      <c r="J84" t="str">
        <f t="shared" si="1"/>
        <v>Mid-Level</v>
      </c>
    </row>
    <row r="85" spans="1:10" ht="15.75" customHeight="1" x14ac:dyDescent="0.25">
      <c r="A85">
        <v>1084</v>
      </c>
      <c r="B85">
        <v>29</v>
      </c>
      <c r="C85" t="s">
        <v>4</v>
      </c>
      <c r="D85" t="s">
        <v>11</v>
      </c>
      <c r="E85" t="s">
        <v>14</v>
      </c>
      <c r="F85">
        <v>86199</v>
      </c>
      <c r="G85">
        <v>13</v>
      </c>
      <c r="H85">
        <v>2</v>
      </c>
      <c r="I85" t="s">
        <v>15</v>
      </c>
      <c r="J85" t="str">
        <f t="shared" si="1"/>
        <v>Senior</v>
      </c>
    </row>
    <row r="86" spans="1:10" ht="15.75" customHeight="1" x14ac:dyDescent="0.25">
      <c r="A86">
        <v>1085</v>
      </c>
      <c r="B86">
        <v>48</v>
      </c>
      <c r="C86" t="s">
        <v>10</v>
      </c>
      <c r="D86" t="s">
        <v>5</v>
      </c>
      <c r="E86" t="s">
        <v>6</v>
      </c>
      <c r="F86">
        <v>97361</v>
      </c>
      <c r="G86">
        <v>7</v>
      </c>
      <c r="H86">
        <v>5</v>
      </c>
      <c r="I86" t="s">
        <v>7</v>
      </c>
      <c r="J86" t="str">
        <f t="shared" si="1"/>
        <v>Senior</v>
      </c>
    </row>
    <row r="87" spans="1:10" ht="15.75" customHeight="1" x14ac:dyDescent="0.25">
      <c r="A87">
        <v>1086</v>
      </c>
      <c r="B87">
        <v>32</v>
      </c>
      <c r="C87" t="s">
        <v>4</v>
      </c>
      <c r="D87" t="s">
        <v>8</v>
      </c>
      <c r="E87" t="s">
        <v>9</v>
      </c>
      <c r="F87">
        <v>33804</v>
      </c>
      <c r="G87">
        <v>4</v>
      </c>
      <c r="H87">
        <v>2</v>
      </c>
      <c r="I87" t="s">
        <v>7</v>
      </c>
      <c r="J87" t="str">
        <f t="shared" si="1"/>
        <v>Mid-Level</v>
      </c>
    </row>
    <row r="88" spans="1:10" ht="15.75" customHeight="1" x14ac:dyDescent="0.25">
      <c r="A88">
        <v>1087</v>
      </c>
      <c r="B88">
        <v>33</v>
      </c>
      <c r="C88" t="s">
        <v>4</v>
      </c>
      <c r="D88" t="s">
        <v>11</v>
      </c>
      <c r="E88" t="s">
        <v>12</v>
      </c>
      <c r="F88">
        <v>97322</v>
      </c>
      <c r="G88">
        <v>2</v>
      </c>
      <c r="H88">
        <v>5</v>
      </c>
      <c r="I88" t="s">
        <v>15</v>
      </c>
      <c r="J88" t="str">
        <f t="shared" si="1"/>
        <v>Junior</v>
      </c>
    </row>
    <row r="89" spans="1:10" ht="15.75" customHeight="1" x14ac:dyDescent="0.25">
      <c r="A89">
        <v>1088</v>
      </c>
      <c r="B89">
        <v>48</v>
      </c>
      <c r="C89" t="s">
        <v>10</v>
      </c>
      <c r="D89" t="s">
        <v>8</v>
      </c>
      <c r="E89" t="s">
        <v>9</v>
      </c>
      <c r="F89">
        <v>42316</v>
      </c>
      <c r="G89">
        <v>18</v>
      </c>
      <c r="H89">
        <v>1</v>
      </c>
      <c r="I89" t="s">
        <v>7</v>
      </c>
      <c r="J89" t="str">
        <f t="shared" si="1"/>
        <v>Senior</v>
      </c>
    </row>
    <row r="90" spans="1:10" ht="15.75" customHeight="1" x14ac:dyDescent="0.25">
      <c r="A90">
        <v>1089</v>
      </c>
      <c r="B90">
        <v>56</v>
      </c>
      <c r="C90" t="s">
        <v>10</v>
      </c>
      <c r="D90" t="s">
        <v>18</v>
      </c>
      <c r="E90" t="s">
        <v>19</v>
      </c>
      <c r="F90">
        <v>49653</v>
      </c>
      <c r="G90">
        <v>18</v>
      </c>
      <c r="H90">
        <v>3</v>
      </c>
      <c r="I90" t="s">
        <v>7</v>
      </c>
      <c r="J90" t="str">
        <f t="shared" si="1"/>
        <v>Senior</v>
      </c>
    </row>
    <row r="91" spans="1:10" ht="15.75" customHeight="1" x14ac:dyDescent="0.25">
      <c r="A91">
        <v>1090</v>
      </c>
      <c r="B91">
        <v>33</v>
      </c>
      <c r="C91" t="s">
        <v>10</v>
      </c>
      <c r="D91" t="s">
        <v>16</v>
      </c>
      <c r="E91" t="s">
        <v>17</v>
      </c>
      <c r="F91">
        <v>67131</v>
      </c>
      <c r="G91">
        <v>5</v>
      </c>
      <c r="H91">
        <v>5</v>
      </c>
      <c r="I91" t="s">
        <v>7</v>
      </c>
      <c r="J91" t="str">
        <f t="shared" si="1"/>
        <v>Mid-Level</v>
      </c>
    </row>
    <row r="92" spans="1:10" ht="15.75" customHeight="1" x14ac:dyDescent="0.25">
      <c r="A92">
        <v>1091</v>
      </c>
      <c r="B92">
        <v>31</v>
      </c>
      <c r="C92" t="s">
        <v>4</v>
      </c>
      <c r="D92" t="s">
        <v>21</v>
      </c>
      <c r="E92" t="s">
        <v>22</v>
      </c>
      <c r="F92">
        <v>86908</v>
      </c>
      <c r="G92">
        <v>0</v>
      </c>
      <c r="H92">
        <v>5</v>
      </c>
      <c r="I92" t="s">
        <v>7</v>
      </c>
      <c r="J92" t="str">
        <f t="shared" si="1"/>
        <v>Junior</v>
      </c>
    </row>
    <row r="93" spans="1:10" ht="15.75" customHeight="1" x14ac:dyDescent="0.25">
      <c r="A93">
        <v>1092</v>
      </c>
      <c r="B93">
        <v>46</v>
      </c>
      <c r="C93" t="s">
        <v>10</v>
      </c>
      <c r="D93" t="s">
        <v>5</v>
      </c>
      <c r="E93" t="s">
        <v>6</v>
      </c>
      <c r="F93">
        <v>118006</v>
      </c>
      <c r="G93">
        <v>18</v>
      </c>
      <c r="H93">
        <v>4</v>
      </c>
      <c r="I93" t="s">
        <v>7</v>
      </c>
      <c r="J93" t="str">
        <f t="shared" si="1"/>
        <v>Senior</v>
      </c>
    </row>
    <row r="94" spans="1:10" ht="15.75" customHeight="1" x14ac:dyDescent="0.25">
      <c r="A94">
        <v>1093</v>
      </c>
      <c r="B94">
        <v>34</v>
      </c>
      <c r="C94" t="s">
        <v>10</v>
      </c>
      <c r="D94" t="s">
        <v>18</v>
      </c>
      <c r="E94" t="s">
        <v>23</v>
      </c>
      <c r="F94">
        <v>75613</v>
      </c>
      <c r="G94">
        <v>13</v>
      </c>
      <c r="H94">
        <v>3</v>
      </c>
      <c r="I94" t="s">
        <v>7</v>
      </c>
      <c r="J94" t="str">
        <f t="shared" si="1"/>
        <v>Senior</v>
      </c>
    </row>
    <row r="95" spans="1:10" ht="15.75" customHeight="1" x14ac:dyDescent="0.25">
      <c r="A95">
        <v>1094</v>
      </c>
      <c r="B95">
        <v>49</v>
      </c>
      <c r="C95" t="s">
        <v>4</v>
      </c>
      <c r="D95" t="s">
        <v>11</v>
      </c>
      <c r="E95" t="s">
        <v>12</v>
      </c>
      <c r="F95">
        <v>31101</v>
      </c>
      <c r="G95">
        <v>18</v>
      </c>
      <c r="H95">
        <v>3</v>
      </c>
      <c r="I95" t="s">
        <v>15</v>
      </c>
      <c r="J95" t="str">
        <f t="shared" si="1"/>
        <v>Senior</v>
      </c>
    </row>
    <row r="96" spans="1:10" ht="15.75" customHeight="1" x14ac:dyDescent="0.25">
      <c r="A96">
        <v>1095</v>
      </c>
      <c r="B96">
        <v>48</v>
      </c>
      <c r="C96" t="s">
        <v>4</v>
      </c>
      <c r="D96" t="s">
        <v>21</v>
      </c>
      <c r="E96" t="s">
        <v>22</v>
      </c>
      <c r="F96">
        <v>44691</v>
      </c>
      <c r="G96">
        <v>7</v>
      </c>
      <c r="H96">
        <v>3</v>
      </c>
      <c r="I96" t="s">
        <v>15</v>
      </c>
      <c r="J96" t="str">
        <f t="shared" si="1"/>
        <v>Senior</v>
      </c>
    </row>
    <row r="97" spans="1:10" ht="15.75" customHeight="1" x14ac:dyDescent="0.25">
      <c r="A97">
        <v>1096</v>
      </c>
      <c r="B97">
        <v>29</v>
      </c>
      <c r="C97" t="s">
        <v>10</v>
      </c>
      <c r="D97" t="s">
        <v>8</v>
      </c>
      <c r="E97" t="s">
        <v>9</v>
      </c>
      <c r="F97">
        <v>113553</v>
      </c>
      <c r="G97">
        <v>8</v>
      </c>
      <c r="H97">
        <v>3</v>
      </c>
      <c r="I97" t="s">
        <v>7</v>
      </c>
      <c r="J97" t="str">
        <f t="shared" si="1"/>
        <v>Senior</v>
      </c>
    </row>
    <row r="98" spans="1:10" ht="15.75" customHeight="1" x14ac:dyDescent="0.25">
      <c r="A98">
        <v>1097</v>
      </c>
      <c r="B98">
        <v>33</v>
      </c>
      <c r="C98" t="s">
        <v>4</v>
      </c>
      <c r="D98" t="s">
        <v>18</v>
      </c>
      <c r="E98" t="s">
        <v>23</v>
      </c>
      <c r="F98">
        <v>87386</v>
      </c>
      <c r="G98">
        <v>19</v>
      </c>
      <c r="H98">
        <v>2</v>
      </c>
      <c r="I98" t="s">
        <v>7</v>
      </c>
      <c r="J98" t="str">
        <f t="shared" si="1"/>
        <v>Senior</v>
      </c>
    </row>
    <row r="99" spans="1:10" ht="15.75" customHeight="1" x14ac:dyDescent="0.25">
      <c r="A99">
        <v>1098</v>
      </c>
      <c r="B99">
        <v>33</v>
      </c>
      <c r="C99" t="s">
        <v>10</v>
      </c>
      <c r="D99" t="s">
        <v>21</v>
      </c>
      <c r="E99" t="s">
        <v>22</v>
      </c>
      <c r="F99">
        <v>78120</v>
      </c>
      <c r="G99">
        <v>16</v>
      </c>
      <c r="H99">
        <v>3</v>
      </c>
      <c r="I99" t="s">
        <v>7</v>
      </c>
      <c r="J99" t="str">
        <f t="shared" si="1"/>
        <v>Senior</v>
      </c>
    </row>
    <row r="100" spans="1:10" ht="15.75" customHeight="1" x14ac:dyDescent="0.25">
      <c r="A100">
        <v>1099</v>
      </c>
      <c r="B100">
        <v>32</v>
      </c>
      <c r="C100" t="s">
        <v>4</v>
      </c>
      <c r="D100" t="s">
        <v>21</v>
      </c>
      <c r="E100" t="s">
        <v>22</v>
      </c>
      <c r="F100">
        <v>110701</v>
      </c>
      <c r="G100">
        <v>13</v>
      </c>
      <c r="H100">
        <v>2</v>
      </c>
      <c r="I100" t="s">
        <v>7</v>
      </c>
      <c r="J100" t="str">
        <f t="shared" si="1"/>
        <v>Senior</v>
      </c>
    </row>
    <row r="101" spans="1:10" ht="15.75" customHeight="1" x14ac:dyDescent="0.25">
      <c r="A101">
        <v>1100</v>
      </c>
      <c r="B101">
        <v>47</v>
      </c>
      <c r="C101" t="s">
        <v>4</v>
      </c>
      <c r="D101" t="s">
        <v>5</v>
      </c>
      <c r="E101" t="s">
        <v>20</v>
      </c>
      <c r="F101">
        <v>110988</v>
      </c>
      <c r="G101">
        <v>9</v>
      </c>
      <c r="H101">
        <v>2</v>
      </c>
      <c r="I101" t="s">
        <v>7</v>
      </c>
      <c r="J101" t="str">
        <f t="shared" si="1"/>
        <v>Senior</v>
      </c>
    </row>
    <row r="102" spans="1:10" ht="15.75" customHeight="1" x14ac:dyDescent="0.25">
      <c r="A102">
        <v>1101</v>
      </c>
      <c r="B102">
        <v>45</v>
      </c>
      <c r="C102" t="s">
        <v>10</v>
      </c>
      <c r="D102" t="s">
        <v>11</v>
      </c>
      <c r="E102" t="s">
        <v>14</v>
      </c>
      <c r="F102">
        <v>45202</v>
      </c>
      <c r="G102">
        <v>6</v>
      </c>
      <c r="H102">
        <v>3</v>
      </c>
      <c r="I102" t="s">
        <v>7</v>
      </c>
      <c r="J102" t="str">
        <f t="shared" si="1"/>
        <v>Mid-Level</v>
      </c>
    </row>
    <row r="103" spans="1:10" ht="15.75" customHeight="1" x14ac:dyDescent="0.25">
      <c r="A103">
        <v>1102</v>
      </c>
      <c r="B103">
        <v>48</v>
      </c>
      <c r="C103" t="s">
        <v>10</v>
      </c>
      <c r="D103" t="s">
        <v>8</v>
      </c>
      <c r="E103" t="s">
        <v>13</v>
      </c>
      <c r="F103">
        <v>96458</v>
      </c>
      <c r="G103">
        <v>15</v>
      </c>
      <c r="H103">
        <v>5</v>
      </c>
      <c r="I103" t="s">
        <v>7</v>
      </c>
      <c r="J103" t="str">
        <f t="shared" si="1"/>
        <v>Senior</v>
      </c>
    </row>
    <row r="104" spans="1:10" ht="15.75" customHeight="1" x14ac:dyDescent="0.25">
      <c r="A104">
        <v>1103</v>
      </c>
      <c r="B104">
        <v>28</v>
      </c>
      <c r="C104" t="s">
        <v>10</v>
      </c>
      <c r="D104" t="s">
        <v>18</v>
      </c>
      <c r="E104" t="s">
        <v>19</v>
      </c>
      <c r="F104">
        <v>75325</v>
      </c>
      <c r="G104">
        <v>3</v>
      </c>
      <c r="H104">
        <v>2</v>
      </c>
      <c r="I104" t="s">
        <v>7</v>
      </c>
      <c r="J104" t="str">
        <f t="shared" si="1"/>
        <v>Mid-Level</v>
      </c>
    </row>
    <row r="105" spans="1:10" ht="15.75" customHeight="1" x14ac:dyDescent="0.25">
      <c r="A105">
        <v>1104</v>
      </c>
      <c r="B105">
        <v>35</v>
      </c>
      <c r="C105" t="s">
        <v>4</v>
      </c>
      <c r="D105" t="s">
        <v>21</v>
      </c>
      <c r="E105" t="s">
        <v>24</v>
      </c>
      <c r="F105">
        <v>89413</v>
      </c>
      <c r="G105">
        <v>7</v>
      </c>
      <c r="H105">
        <v>2</v>
      </c>
      <c r="I105" t="s">
        <v>7</v>
      </c>
      <c r="J105" t="str">
        <f t="shared" si="1"/>
        <v>Senior</v>
      </c>
    </row>
    <row r="106" spans="1:10" ht="15.75" customHeight="1" x14ac:dyDescent="0.25">
      <c r="A106">
        <v>1105</v>
      </c>
      <c r="B106">
        <v>49</v>
      </c>
      <c r="C106" t="s">
        <v>4</v>
      </c>
      <c r="D106" t="s">
        <v>5</v>
      </c>
      <c r="E106" t="s">
        <v>26</v>
      </c>
      <c r="F106">
        <v>29863</v>
      </c>
      <c r="G106">
        <v>0</v>
      </c>
      <c r="H106">
        <v>5</v>
      </c>
      <c r="I106" t="s">
        <v>7</v>
      </c>
      <c r="J106" t="str">
        <f t="shared" si="1"/>
        <v>Junior</v>
      </c>
    </row>
    <row r="107" spans="1:10" ht="15.75" customHeight="1" x14ac:dyDescent="0.25">
      <c r="A107">
        <v>1106</v>
      </c>
      <c r="B107">
        <v>34</v>
      </c>
      <c r="C107" t="s">
        <v>4</v>
      </c>
      <c r="D107" t="s">
        <v>16</v>
      </c>
      <c r="E107" t="s">
        <v>25</v>
      </c>
      <c r="F107">
        <v>28439</v>
      </c>
      <c r="G107">
        <v>18</v>
      </c>
      <c r="H107">
        <v>4</v>
      </c>
      <c r="I107" t="s">
        <v>7</v>
      </c>
      <c r="J107" t="str">
        <f t="shared" si="1"/>
        <v>Senior</v>
      </c>
    </row>
    <row r="108" spans="1:10" ht="15.75" customHeight="1" x14ac:dyDescent="0.25">
      <c r="A108">
        <v>1107</v>
      </c>
      <c r="B108">
        <v>31</v>
      </c>
      <c r="C108" t="s">
        <v>10</v>
      </c>
      <c r="D108" t="s">
        <v>16</v>
      </c>
      <c r="E108" t="s">
        <v>25</v>
      </c>
      <c r="F108">
        <v>110538</v>
      </c>
      <c r="G108">
        <v>15</v>
      </c>
      <c r="H108">
        <v>5</v>
      </c>
      <c r="I108" t="s">
        <v>7</v>
      </c>
      <c r="J108" t="str">
        <f t="shared" si="1"/>
        <v>Senior</v>
      </c>
    </row>
    <row r="109" spans="1:10" ht="15.75" customHeight="1" x14ac:dyDescent="0.25">
      <c r="A109">
        <v>1108</v>
      </c>
      <c r="B109">
        <v>38</v>
      </c>
      <c r="C109" t="s">
        <v>4</v>
      </c>
      <c r="D109" t="s">
        <v>8</v>
      </c>
      <c r="E109" t="s">
        <v>13</v>
      </c>
      <c r="F109">
        <v>60911</v>
      </c>
      <c r="G109">
        <v>19</v>
      </c>
      <c r="H109">
        <v>1</v>
      </c>
      <c r="I109" t="s">
        <v>15</v>
      </c>
      <c r="J109" t="str">
        <f t="shared" si="1"/>
        <v>Senior</v>
      </c>
    </row>
    <row r="110" spans="1:10" ht="15.75" customHeight="1" x14ac:dyDescent="0.25">
      <c r="A110">
        <v>1109</v>
      </c>
      <c r="B110">
        <v>22</v>
      </c>
      <c r="C110" t="s">
        <v>10</v>
      </c>
      <c r="D110" t="s">
        <v>18</v>
      </c>
      <c r="E110" t="s">
        <v>19</v>
      </c>
      <c r="F110">
        <v>108941</v>
      </c>
      <c r="G110">
        <v>5</v>
      </c>
      <c r="H110">
        <v>3</v>
      </c>
      <c r="I110" t="s">
        <v>7</v>
      </c>
      <c r="J110" t="str">
        <f t="shared" si="1"/>
        <v>Mid-Level</v>
      </c>
    </row>
    <row r="111" spans="1:10" ht="15.75" customHeight="1" x14ac:dyDescent="0.25">
      <c r="A111">
        <v>1110</v>
      </c>
      <c r="B111">
        <v>27</v>
      </c>
      <c r="C111" t="s">
        <v>4</v>
      </c>
      <c r="D111" t="s">
        <v>5</v>
      </c>
      <c r="E111" t="s">
        <v>26</v>
      </c>
      <c r="F111">
        <v>70205</v>
      </c>
      <c r="G111">
        <v>8</v>
      </c>
      <c r="H111">
        <v>3</v>
      </c>
      <c r="I111" t="s">
        <v>7</v>
      </c>
      <c r="J111" t="str">
        <f t="shared" si="1"/>
        <v>Senior</v>
      </c>
    </row>
    <row r="112" spans="1:10" ht="15.75" customHeight="1" x14ac:dyDescent="0.25">
      <c r="A112">
        <v>1111</v>
      </c>
      <c r="B112">
        <v>45</v>
      </c>
      <c r="C112" t="s">
        <v>10</v>
      </c>
      <c r="D112" t="s">
        <v>8</v>
      </c>
      <c r="E112" t="s">
        <v>9</v>
      </c>
      <c r="F112">
        <v>49375</v>
      </c>
      <c r="G112">
        <v>12</v>
      </c>
      <c r="H112">
        <v>1</v>
      </c>
      <c r="I112" t="s">
        <v>15</v>
      </c>
      <c r="J112" t="str">
        <f t="shared" si="1"/>
        <v>Senior</v>
      </c>
    </row>
    <row r="113" spans="1:10" ht="15.75" customHeight="1" x14ac:dyDescent="0.25">
      <c r="A113">
        <v>1112</v>
      </c>
      <c r="B113">
        <v>26</v>
      </c>
      <c r="C113" t="s">
        <v>4</v>
      </c>
      <c r="D113" t="s">
        <v>21</v>
      </c>
      <c r="E113" t="s">
        <v>24</v>
      </c>
      <c r="F113">
        <v>77264</v>
      </c>
      <c r="G113">
        <v>0</v>
      </c>
      <c r="H113">
        <v>2</v>
      </c>
      <c r="I113" t="s">
        <v>7</v>
      </c>
      <c r="J113" t="str">
        <f t="shared" si="1"/>
        <v>Junior</v>
      </c>
    </row>
    <row r="114" spans="1:10" ht="15.75" customHeight="1" x14ac:dyDescent="0.25">
      <c r="A114">
        <v>1113</v>
      </c>
      <c r="B114">
        <v>50</v>
      </c>
      <c r="C114" t="s">
        <v>4</v>
      </c>
      <c r="D114" t="s">
        <v>8</v>
      </c>
      <c r="E114" t="s">
        <v>9</v>
      </c>
      <c r="F114">
        <v>86298</v>
      </c>
      <c r="G114">
        <v>14</v>
      </c>
      <c r="H114">
        <v>2</v>
      </c>
      <c r="I114" t="s">
        <v>15</v>
      </c>
      <c r="J114" t="str">
        <f t="shared" si="1"/>
        <v>Senior</v>
      </c>
    </row>
    <row r="115" spans="1:10" ht="15.75" customHeight="1" x14ac:dyDescent="0.25">
      <c r="A115">
        <v>1114</v>
      </c>
      <c r="B115">
        <v>26</v>
      </c>
      <c r="C115" t="s">
        <v>10</v>
      </c>
      <c r="D115" t="s">
        <v>8</v>
      </c>
      <c r="E115" t="s">
        <v>9</v>
      </c>
      <c r="F115">
        <v>55480</v>
      </c>
      <c r="G115">
        <v>19</v>
      </c>
      <c r="H115">
        <v>2</v>
      </c>
      <c r="I115" t="s">
        <v>7</v>
      </c>
      <c r="J115" t="str">
        <f t="shared" si="1"/>
        <v>Senior</v>
      </c>
    </row>
    <row r="116" spans="1:10" ht="15.75" customHeight="1" x14ac:dyDescent="0.25">
      <c r="A116">
        <v>1115</v>
      </c>
      <c r="B116">
        <v>31</v>
      </c>
      <c r="C116" t="s">
        <v>10</v>
      </c>
      <c r="D116" t="s">
        <v>5</v>
      </c>
      <c r="E116" t="s">
        <v>26</v>
      </c>
      <c r="F116">
        <v>92134</v>
      </c>
      <c r="G116">
        <v>19</v>
      </c>
      <c r="H116">
        <v>4</v>
      </c>
      <c r="I116" t="s">
        <v>7</v>
      </c>
      <c r="J116" t="str">
        <f t="shared" si="1"/>
        <v>Senior</v>
      </c>
    </row>
    <row r="117" spans="1:10" ht="15.75" customHeight="1" x14ac:dyDescent="0.25">
      <c r="A117">
        <v>1116</v>
      </c>
      <c r="B117">
        <v>50</v>
      </c>
      <c r="C117" t="s">
        <v>10</v>
      </c>
      <c r="D117" t="s">
        <v>21</v>
      </c>
      <c r="E117" t="s">
        <v>24</v>
      </c>
      <c r="F117">
        <v>67486</v>
      </c>
      <c r="G117">
        <v>2</v>
      </c>
      <c r="H117">
        <v>2</v>
      </c>
      <c r="I117" t="s">
        <v>7</v>
      </c>
      <c r="J117" t="str">
        <f t="shared" si="1"/>
        <v>Junior</v>
      </c>
    </row>
    <row r="118" spans="1:10" ht="15.75" customHeight="1" x14ac:dyDescent="0.25">
      <c r="A118">
        <v>1117</v>
      </c>
      <c r="B118">
        <v>46</v>
      </c>
      <c r="C118" t="s">
        <v>10</v>
      </c>
      <c r="D118" t="s">
        <v>16</v>
      </c>
      <c r="E118" t="s">
        <v>17</v>
      </c>
      <c r="F118">
        <v>119147</v>
      </c>
      <c r="G118">
        <v>4</v>
      </c>
      <c r="H118">
        <v>2</v>
      </c>
      <c r="I118" t="s">
        <v>15</v>
      </c>
      <c r="J118" t="str">
        <f t="shared" si="1"/>
        <v>Mid-Level</v>
      </c>
    </row>
    <row r="119" spans="1:10" ht="15.75" customHeight="1" x14ac:dyDescent="0.25">
      <c r="A119">
        <v>1118</v>
      </c>
      <c r="B119">
        <v>38</v>
      </c>
      <c r="C119" t="s">
        <v>10</v>
      </c>
      <c r="D119" t="s">
        <v>8</v>
      </c>
      <c r="E119" t="s">
        <v>9</v>
      </c>
      <c r="F119">
        <v>119508</v>
      </c>
      <c r="G119">
        <v>15</v>
      </c>
      <c r="H119">
        <v>1</v>
      </c>
      <c r="I119" t="s">
        <v>7</v>
      </c>
      <c r="J119" t="str">
        <f t="shared" si="1"/>
        <v>Senior</v>
      </c>
    </row>
    <row r="120" spans="1:10" ht="15.75" customHeight="1" x14ac:dyDescent="0.25">
      <c r="A120">
        <v>1119</v>
      </c>
      <c r="B120">
        <v>41</v>
      </c>
      <c r="C120" t="s">
        <v>4</v>
      </c>
      <c r="D120" t="s">
        <v>5</v>
      </c>
      <c r="E120" t="s">
        <v>20</v>
      </c>
      <c r="F120">
        <v>102130</v>
      </c>
      <c r="G120">
        <v>1</v>
      </c>
      <c r="H120">
        <v>2</v>
      </c>
      <c r="I120" t="s">
        <v>7</v>
      </c>
      <c r="J120" t="str">
        <f t="shared" si="1"/>
        <v>Junior</v>
      </c>
    </row>
    <row r="121" spans="1:10" ht="15.75" customHeight="1" x14ac:dyDescent="0.25">
      <c r="A121">
        <v>1120</v>
      </c>
      <c r="B121">
        <v>24</v>
      </c>
      <c r="C121" t="s">
        <v>4</v>
      </c>
      <c r="D121" t="s">
        <v>11</v>
      </c>
      <c r="E121" t="s">
        <v>14</v>
      </c>
      <c r="F121">
        <v>116167</v>
      </c>
      <c r="G121">
        <v>13</v>
      </c>
      <c r="H121">
        <v>5</v>
      </c>
      <c r="I121" t="s">
        <v>7</v>
      </c>
      <c r="J121" t="str">
        <f t="shared" si="1"/>
        <v>Senior</v>
      </c>
    </row>
    <row r="122" spans="1:10" ht="15.75" customHeight="1" x14ac:dyDescent="0.25">
      <c r="A122">
        <v>1121</v>
      </c>
      <c r="B122">
        <v>47</v>
      </c>
      <c r="C122" t="s">
        <v>4</v>
      </c>
      <c r="D122" t="s">
        <v>11</v>
      </c>
      <c r="E122" t="s">
        <v>12</v>
      </c>
      <c r="F122">
        <v>42012</v>
      </c>
      <c r="G122">
        <v>20</v>
      </c>
      <c r="H122">
        <v>5</v>
      </c>
      <c r="I122" t="s">
        <v>15</v>
      </c>
      <c r="J122" t="str">
        <f t="shared" si="1"/>
        <v>Senior</v>
      </c>
    </row>
    <row r="123" spans="1:10" ht="15.75" customHeight="1" x14ac:dyDescent="0.25">
      <c r="A123">
        <v>1122</v>
      </c>
      <c r="B123">
        <v>50</v>
      </c>
      <c r="C123" t="s">
        <v>4</v>
      </c>
      <c r="D123" t="s">
        <v>21</v>
      </c>
      <c r="E123" t="s">
        <v>24</v>
      </c>
      <c r="F123">
        <v>68209</v>
      </c>
      <c r="G123">
        <v>10</v>
      </c>
      <c r="H123">
        <v>5</v>
      </c>
      <c r="I123" t="s">
        <v>15</v>
      </c>
      <c r="J123" t="str">
        <f t="shared" si="1"/>
        <v>Senior</v>
      </c>
    </row>
    <row r="124" spans="1:10" ht="15.75" customHeight="1" x14ac:dyDescent="0.25">
      <c r="A124">
        <v>1123</v>
      </c>
      <c r="B124">
        <v>31</v>
      </c>
      <c r="C124" t="s">
        <v>4</v>
      </c>
      <c r="D124" t="s">
        <v>11</v>
      </c>
      <c r="E124" t="s">
        <v>14</v>
      </c>
      <c r="F124">
        <v>77817</v>
      </c>
      <c r="G124">
        <v>9</v>
      </c>
      <c r="H124">
        <v>1</v>
      </c>
      <c r="I124" t="s">
        <v>7</v>
      </c>
      <c r="J124" t="str">
        <f t="shared" si="1"/>
        <v>Senior</v>
      </c>
    </row>
    <row r="125" spans="1:10" ht="15.75" customHeight="1" x14ac:dyDescent="0.25">
      <c r="A125">
        <v>1124</v>
      </c>
      <c r="B125">
        <v>53</v>
      </c>
      <c r="C125" t="s">
        <v>4</v>
      </c>
      <c r="D125" t="s">
        <v>8</v>
      </c>
      <c r="E125" t="s">
        <v>13</v>
      </c>
      <c r="F125">
        <v>81265</v>
      </c>
      <c r="G125">
        <v>16</v>
      </c>
      <c r="H125">
        <v>5</v>
      </c>
      <c r="I125" t="s">
        <v>7</v>
      </c>
      <c r="J125" t="str">
        <f t="shared" si="1"/>
        <v>Senior</v>
      </c>
    </row>
    <row r="126" spans="1:10" ht="15.75" customHeight="1" x14ac:dyDescent="0.25">
      <c r="A126">
        <v>1125</v>
      </c>
      <c r="B126">
        <v>43</v>
      </c>
      <c r="C126" t="s">
        <v>10</v>
      </c>
      <c r="D126" t="s">
        <v>5</v>
      </c>
      <c r="E126" t="s">
        <v>20</v>
      </c>
      <c r="F126">
        <v>22684</v>
      </c>
      <c r="G126">
        <v>15</v>
      </c>
      <c r="H126">
        <v>4</v>
      </c>
      <c r="I126" t="s">
        <v>7</v>
      </c>
      <c r="J126" t="str">
        <f t="shared" si="1"/>
        <v>Senior</v>
      </c>
    </row>
    <row r="127" spans="1:10" ht="15.75" customHeight="1" x14ac:dyDescent="0.25">
      <c r="A127">
        <v>1126</v>
      </c>
      <c r="B127">
        <v>58</v>
      </c>
      <c r="C127" t="s">
        <v>10</v>
      </c>
      <c r="D127" t="s">
        <v>16</v>
      </c>
      <c r="E127" t="s">
        <v>17</v>
      </c>
      <c r="F127">
        <v>89662</v>
      </c>
      <c r="G127">
        <v>16</v>
      </c>
      <c r="H127">
        <v>2</v>
      </c>
      <c r="I127" t="s">
        <v>7</v>
      </c>
      <c r="J127" t="str">
        <f t="shared" si="1"/>
        <v>Senior</v>
      </c>
    </row>
    <row r="128" spans="1:10" ht="15.75" customHeight="1" x14ac:dyDescent="0.25">
      <c r="A128">
        <v>1127</v>
      </c>
      <c r="B128">
        <v>52</v>
      </c>
      <c r="C128" t="s">
        <v>4</v>
      </c>
      <c r="D128" t="s">
        <v>16</v>
      </c>
      <c r="E128" t="s">
        <v>17</v>
      </c>
      <c r="F128">
        <v>53742</v>
      </c>
      <c r="G128">
        <v>7</v>
      </c>
      <c r="H128">
        <v>1</v>
      </c>
      <c r="I128" t="s">
        <v>7</v>
      </c>
      <c r="J128" t="str">
        <f t="shared" si="1"/>
        <v>Senior</v>
      </c>
    </row>
    <row r="129" spans="1:10" ht="15.75" customHeight="1" x14ac:dyDescent="0.25">
      <c r="A129">
        <v>1128</v>
      </c>
      <c r="B129">
        <v>47</v>
      </c>
      <c r="C129" t="s">
        <v>10</v>
      </c>
      <c r="D129" t="s">
        <v>11</v>
      </c>
      <c r="E129" t="s">
        <v>12</v>
      </c>
      <c r="F129">
        <v>81650</v>
      </c>
      <c r="G129">
        <v>10</v>
      </c>
      <c r="H129">
        <v>3</v>
      </c>
      <c r="I129" t="s">
        <v>7</v>
      </c>
      <c r="J129" t="str">
        <f t="shared" si="1"/>
        <v>Senior</v>
      </c>
    </row>
    <row r="130" spans="1:10" ht="15.75" customHeight="1" x14ac:dyDescent="0.25">
      <c r="A130">
        <v>1129</v>
      </c>
      <c r="B130">
        <v>46</v>
      </c>
      <c r="C130" t="s">
        <v>10</v>
      </c>
      <c r="D130" t="s">
        <v>18</v>
      </c>
      <c r="E130" t="s">
        <v>19</v>
      </c>
      <c r="F130">
        <v>119534</v>
      </c>
      <c r="G130">
        <v>3</v>
      </c>
      <c r="H130">
        <v>2</v>
      </c>
      <c r="I130" t="s">
        <v>15</v>
      </c>
      <c r="J130" t="str">
        <f t="shared" ref="J130:J193" si="2">IF(G130&lt;3,"Junior",IF(G130&lt;7,"Mid-Level","Senior"))</f>
        <v>Mid-Level</v>
      </c>
    </row>
    <row r="131" spans="1:10" ht="15.75" customHeight="1" x14ac:dyDescent="0.25">
      <c r="A131">
        <v>1130</v>
      </c>
      <c r="B131">
        <v>49</v>
      </c>
      <c r="C131" t="s">
        <v>10</v>
      </c>
      <c r="D131" t="s">
        <v>18</v>
      </c>
      <c r="E131" t="s">
        <v>19</v>
      </c>
      <c r="F131">
        <v>50699</v>
      </c>
      <c r="G131">
        <v>11</v>
      </c>
      <c r="H131">
        <v>4</v>
      </c>
      <c r="I131" t="s">
        <v>7</v>
      </c>
      <c r="J131" t="str">
        <f t="shared" si="2"/>
        <v>Senior</v>
      </c>
    </row>
    <row r="132" spans="1:10" ht="15.75" customHeight="1" x14ac:dyDescent="0.25">
      <c r="A132">
        <v>1131</v>
      </c>
      <c r="B132">
        <v>34</v>
      </c>
      <c r="C132" t="s">
        <v>10</v>
      </c>
      <c r="D132" t="s">
        <v>21</v>
      </c>
      <c r="E132" t="s">
        <v>22</v>
      </c>
      <c r="F132">
        <v>96722</v>
      </c>
      <c r="G132">
        <v>10</v>
      </c>
      <c r="H132">
        <v>5</v>
      </c>
      <c r="I132" t="s">
        <v>7</v>
      </c>
      <c r="J132" t="str">
        <f t="shared" si="2"/>
        <v>Senior</v>
      </c>
    </row>
    <row r="133" spans="1:10" ht="15.75" customHeight="1" x14ac:dyDescent="0.25">
      <c r="A133">
        <v>1132</v>
      </c>
      <c r="B133">
        <v>48</v>
      </c>
      <c r="C133" t="s">
        <v>4</v>
      </c>
      <c r="D133" t="s">
        <v>8</v>
      </c>
      <c r="E133" t="s">
        <v>9</v>
      </c>
      <c r="F133">
        <v>28429</v>
      </c>
      <c r="G133">
        <v>10</v>
      </c>
      <c r="H133">
        <v>1</v>
      </c>
      <c r="I133" t="s">
        <v>7</v>
      </c>
      <c r="J133" t="str">
        <f t="shared" si="2"/>
        <v>Senior</v>
      </c>
    </row>
    <row r="134" spans="1:10" ht="15.75" customHeight="1" x14ac:dyDescent="0.25">
      <c r="A134">
        <v>1133</v>
      </c>
      <c r="B134">
        <v>35</v>
      </c>
      <c r="C134" t="s">
        <v>4</v>
      </c>
      <c r="D134" t="s">
        <v>16</v>
      </c>
      <c r="E134" t="s">
        <v>17</v>
      </c>
      <c r="F134">
        <v>114451</v>
      </c>
      <c r="G134">
        <v>9</v>
      </c>
      <c r="H134">
        <v>4</v>
      </c>
      <c r="I134" t="s">
        <v>7</v>
      </c>
      <c r="J134" t="str">
        <f t="shared" si="2"/>
        <v>Senior</v>
      </c>
    </row>
    <row r="135" spans="1:10" ht="15.75" customHeight="1" x14ac:dyDescent="0.25">
      <c r="A135">
        <v>1134</v>
      </c>
      <c r="B135">
        <v>43</v>
      </c>
      <c r="C135" t="s">
        <v>10</v>
      </c>
      <c r="D135" t="s">
        <v>21</v>
      </c>
      <c r="E135" t="s">
        <v>22</v>
      </c>
      <c r="F135">
        <v>32747</v>
      </c>
      <c r="G135">
        <v>3</v>
      </c>
      <c r="H135">
        <v>5</v>
      </c>
      <c r="I135" t="s">
        <v>7</v>
      </c>
      <c r="J135" t="str">
        <f t="shared" si="2"/>
        <v>Mid-Level</v>
      </c>
    </row>
    <row r="136" spans="1:10" ht="15.75" customHeight="1" x14ac:dyDescent="0.25">
      <c r="A136">
        <v>1135</v>
      </c>
      <c r="B136">
        <v>27</v>
      </c>
      <c r="C136" t="s">
        <v>10</v>
      </c>
      <c r="D136" t="s">
        <v>18</v>
      </c>
      <c r="E136" t="s">
        <v>19</v>
      </c>
      <c r="F136">
        <v>62624</v>
      </c>
      <c r="G136">
        <v>12</v>
      </c>
      <c r="H136">
        <v>4</v>
      </c>
      <c r="I136" t="s">
        <v>7</v>
      </c>
      <c r="J136" t="str">
        <f t="shared" si="2"/>
        <v>Senior</v>
      </c>
    </row>
    <row r="137" spans="1:10" ht="15.75" customHeight="1" x14ac:dyDescent="0.25">
      <c r="A137">
        <v>1136</v>
      </c>
      <c r="B137">
        <v>47</v>
      </c>
      <c r="C137" t="s">
        <v>4</v>
      </c>
      <c r="D137" t="s">
        <v>18</v>
      </c>
      <c r="E137" t="s">
        <v>23</v>
      </c>
      <c r="F137">
        <v>85859</v>
      </c>
      <c r="G137">
        <v>14</v>
      </c>
      <c r="H137">
        <v>3</v>
      </c>
      <c r="I137" t="s">
        <v>7</v>
      </c>
      <c r="J137" t="str">
        <f t="shared" si="2"/>
        <v>Senior</v>
      </c>
    </row>
    <row r="138" spans="1:10" ht="15.75" customHeight="1" x14ac:dyDescent="0.25">
      <c r="A138">
        <v>1137</v>
      </c>
      <c r="B138">
        <v>37</v>
      </c>
      <c r="C138" t="s">
        <v>4</v>
      </c>
      <c r="D138" t="s">
        <v>5</v>
      </c>
      <c r="E138" t="s">
        <v>20</v>
      </c>
      <c r="F138">
        <v>24009</v>
      </c>
      <c r="G138">
        <v>2</v>
      </c>
      <c r="H138">
        <v>2</v>
      </c>
      <c r="I138" t="s">
        <v>7</v>
      </c>
      <c r="J138" t="str">
        <f t="shared" si="2"/>
        <v>Junior</v>
      </c>
    </row>
    <row r="139" spans="1:10" ht="15.75" customHeight="1" x14ac:dyDescent="0.25">
      <c r="A139">
        <v>1138</v>
      </c>
      <c r="B139">
        <v>33</v>
      </c>
      <c r="C139" t="s">
        <v>4</v>
      </c>
      <c r="D139" t="s">
        <v>21</v>
      </c>
      <c r="E139" t="s">
        <v>22</v>
      </c>
      <c r="F139">
        <v>69013</v>
      </c>
      <c r="G139">
        <v>4</v>
      </c>
      <c r="H139">
        <v>5</v>
      </c>
      <c r="I139" t="s">
        <v>7</v>
      </c>
      <c r="J139" t="str">
        <f t="shared" si="2"/>
        <v>Mid-Level</v>
      </c>
    </row>
    <row r="140" spans="1:10" ht="15.75" customHeight="1" x14ac:dyDescent="0.25">
      <c r="A140">
        <v>1139</v>
      </c>
      <c r="B140">
        <v>47</v>
      </c>
      <c r="C140" t="s">
        <v>4</v>
      </c>
      <c r="D140" t="s">
        <v>5</v>
      </c>
      <c r="E140" t="s">
        <v>26</v>
      </c>
      <c r="F140">
        <v>21316</v>
      </c>
      <c r="G140">
        <v>11</v>
      </c>
      <c r="H140">
        <v>2</v>
      </c>
      <c r="I140" t="s">
        <v>7</v>
      </c>
      <c r="J140" t="str">
        <f t="shared" si="2"/>
        <v>Senior</v>
      </c>
    </row>
    <row r="141" spans="1:10" ht="15.75" customHeight="1" x14ac:dyDescent="0.25">
      <c r="A141">
        <v>1140</v>
      </c>
      <c r="B141">
        <v>51</v>
      </c>
      <c r="C141" t="s">
        <v>4</v>
      </c>
      <c r="D141" t="s">
        <v>11</v>
      </c>
      <c r="E141" t="s">
        <v>14</v>
      </c>
      <c r="F141">
        <v>47210</v>
      </c>
      <c r="G141">
        <v>11</v>
      </c>
      <c r="H141">
        <v>3</v>
      </c>
      <c r="I141" t="s">
        <v>15</v>
      </c>
      <c r="J141" t="str">
        <f t="shared" si="2"/>
        <v>Senior</v>
      </c>
    </row>
    <row r="142" spans="1:10" ht="15.75" customHeight="1" x14ac:dyDescent="0.25">
      <c r="A142">
        <v>1141</v>
      </c>
      <c r="B142">
        <v>53</v>
      </c>
      <c r="C142" t="s">
        <v>4</v>
      </c>
      <c r="D142" t="s">
        <v>18</v>
      </c>
      <c r="E142" t="s">
        <v>23</v>
      </c>
      <c r="F142">
        <v>67584</v>
      </c>
      <c r="G142">
        <v>11</v>
      </c>
      <c r="H142">
        <v>1</v>
      </c>
      <c r="I142" t="s">
        <v>7</v>
      </c>
      <c r="J142" t="str">
        <f t="shared" si="2"/>
        <v>Senior</v>
      </c>
    </row>
    <row r="143" spans="1:10" ht="15.75" customHeight="1" x14ac:dyDescent="0.25">
      <c r="A143">
        <v>1142</v>
      </c>
      <c r="B143">
        <v>50</v>
      </c>
      <c r="C143" t="s">
        <v>10</v>
      </c>
      <c r="D143" t="s">
        <v>5</v>
      </c>
      <c r="E143" t="s">
        <v>26</v>
      </c>
      <c r="F143">
        <v>29438</v>
      </c>
      <c r="G143">
        <v>1</v>
      </c>
      <c r="H143">
        <v>5</v>
      </c>
      <c r="I143" t="s">
        <v>15</v>
      </c>
      <c r="J143" t="str">
        <f t="shared" si="2"/>
        <v>Junior</v>
      </c>
    </row>
    <row r="144" spans="1:10" ht="15.75" customHeight="1" x14ac:dyDescent="0.25">
      <c r="A144">
        <v>1143</v>
      </c>
      <c r="B144">
        <v>43</v>
      </c>
      <c r="C144" t="s">
        <v>4</v>
      </c>
      <c r="D144" t="s">
        <v>5</v>
      </c>
      <c r="E144" t="s">
        <v>26</v>
      </c>
      <c r="F144">
        <v>96225</v>
      </c>
      <c r="G144">
        <v>12</v>
      </c>
      <c r="H144">
        <v>3</v>
      </c>
      <c r="I144" t="s">
        <v>7</v>
      </c>
      <c r="J144" t="str">
        <f t="shared" si="2"/>
        <v>Senior</v>
      </c>
    </row>
    <row r="145" spans="1:10" ht="15.75" customHeight="1" x14ac:dyDescent="0.25">
      <c r="A145">
        <v>1144</v>
      </c>
      <c r="B145">
        <v>30</v>
      </c>
      <c r="C145" t="s">
        <v>10</v>
      </c>
      <c r="D145" t="s">
        <v>16</v>
      </c>
      <c r="E145" t="s">
        <v>17</v>
      </c>
      <c r="F145">
        <v>105246</v>
      </c>
      <c r="G145">
        <v>10</v>
      </c>
      <c r="H145">
        <v>3</v>
      </c>
      <c r="I145" t="s">
        <v>7</v>
      </c>
      <c r="J145" t="str">
        <f t="shared" si="2"/>
        <v>Senior</v>
      </c>
    </row>
    <row r="146" spans="1:10" ht="15.75" customHeight="1" x14ac:dyDescent="0.25">
      <c r="A146">
        <v>1145</v>
      </c>
      <c r="B146">
        <v>25</v>
      </c>
      <c r="C146" t="s">
        <v>4</v>
      </c>
      <c r="D146" t="s">
        <v>5</v>
      </c>
      <c r="E146" t="s">
        <v>20</v>
      </c>
      <c r="F146">
        <v>64232</v>
      </c>
      <c r="G146">
        <v>16</v>
      </c>
      <c r="H146">
        <v>3</v>
      </c>
      <c r="I146" t="s">
        <v>7</v>
      </c>
      <c r="J146" t="str">
        <f t="shared" si="2"/>
        <v>Senior</v>
      </c>
    </row>
    <row r="147" spans="1:10" ht="15.75" customHeight="1" x14ac:dyDescent="0.25">
      <c r="A147">
        <v>1146</v>
      </c>
      <c r="B147">
        <v>32</v>
      </c>
      <c r="C147" t="s">
        <v>4</v>
      </c>
      <c r="D147" t="s">
        <v>11</v>
      </c>
      <c r="E147" t="s">
        <v>12</v>
      </c>
      <c r="F147">
        <v>83890</v>
      </c>
      <c r="G147">
        <v>15</v>
      </c>
      <c r="H147">
        <v>4</v>
      </c>
      <c r="I147" t="s">
        <v>7</v>
      </c>
      <c r="J147" t="str">
        <f t="shared" si="2"/>
        <v>Senior</v>
      </c>
    </row>
    <row r="148" spans="1:10" ht="15.75" customHeight="1" x14ac:dyDescent="0.25">
      <c r="A148">
        <v>1147</v>
      </c>
      <c r="B148">
        <v>55</v>
      </c>
      <c r="C148" t="s">
        <v>10</v>
      </c>
      <c r="D148" t="s">
        <v>8</v>
      </c>
      <c r="E148" t="s">
        <v>9</v>
      </c>
      <c r="F148">
        <v>104538</v>
      </c>
      <c r="G148">
        <v>10</v>
      </c>
      <c r="H148">
        <v>4</v>
      </c>
      <c r="I148" t="s">
        <v>15</v>
      </c>
      <c r="J148" t="str">
        <f t="shared" si="2"/>
        <v>Senior</v>
      </c>
    </row>
    <row r="149" spans="1:10" ht="15.75" customHeight="1" x14ac:dyDescent="0.25">
      <c r="A149">
        <v>1148</v>
      </c>
      <c r="B149">
        <v>56</v>
      </c>
      <c r="C149" t="s">
        <v>4</v>
      </c>
      <c r="D149" t="s">
        <v>18</v>
      </c>
      <c r="E149" t="s">
        <v>19</v>
      </c>
      <c r="F149">
        <v>97534</v>
      </c>
      <c r="G149">
        <v>0</v>
      </c>
      <c r="H149">
        <v>5</v>
      </c>
      <c r="I149" t="s">
        <v>7</v>
      </c>
      <c r="J149" t="str">
        <f t="shared" si="2"/>
        <v>Junior</v>
      </c>
    </row>
    <row r="150" spans="1:10" ht="15.75" customHeight="1" x14ac:dyDescent="0.25">
      <c r="A150">
        <v>1149</v>
      </c>
      <c r="B150">
        <v>37</v>
      </c>
      <c r="C150" t="s">
        <v>4</v>
      </c>
      <c r="D150" t="s">
        <v>11</v>
      </c>
      <c r="E150" t="s">
        <v>14</v>
      </c>
      <c r="F150">
        <v>118475</v>
      </c>
      <c r="G150">
        <v>13</v>
      </c>
      <c r="H150">
        <v>5</v>
      </c>
      <c r="I150" t="s">
        <v>7</v>
      </c>
      <c r="J150" t="str">
        <f t="shared" si="2"/>
        <v>Senior</v>
      </c>
    </row>
    <row r="151" spans="1:10" ht="15.75" customHeight="1" x14ac:dyDescent="0.25">
      <c r="A151">
        <v>1150</v>
      </c>
      <c r="B151">
        <v>24</v>
      </c>
      <c r="C151" t="s">
        <v>10</v>
      </c>
      <c r="D151" t="s">
        <v>21</v>
      </c>
      <c r="E151" t="s">
        <v>22</v>
      </c>
      <c r="F151">
        <v>29382</v>
      </c>
      <c r="G151">
        <v>20</v>
      </c>
      <c r="H151">
        <v>2</v>
      </c>
      <c r="I151" t="s">
        <v>7</v>
      </c>
      <c r="J151" t="str">
        <f t="shared" si="2"/>
        <v>Senior</v>
      </c>
    </row>
    <row r="152" spans="1:10" ht="15.75" customHeight="1" x14ac:dyDescent="0.25">
      <c r="A152">
        <v>1151</v>
      </c>
      <c r="B152">
        <v>58</v>
      </c>
      <c r="C152" t="s">
        <v>10</v>
      </c>
      <c r="D152" t="s">
        <v>5</v>
      </c>
      <c r="E152" t="s">
        <v>26</v>
      </c>
      <c r="F152">
        <v>96176</v>
      </c>
      <c r="G152">
        <v>3</v>
      </c>
      <c r="H152">
        <v>3</v>
      </c>
      <c r="I152" t="s">
        <v>7</v>
      </c>
      <c r="J152" t="str">
        <f t="shared" si="2"/>
        <v>Mid-Level</v>
      </c>
    </row>
    <row r="153" spans="1:10" ht="15.75" customHeight="1" x14ac:dyDescent="0.25">
      <c r="A153">
        <v>1152</v>
      </c>
      <c r="B153">
        <v>50</v>
      </c>
      <c r="C153" t="s">
        <v>10</v>
      </c>
      <c r="D153" t="s">
        <v>16</v>
      </c>
      <c r="E153" t="s">
        <v>17</v>
      </c>
      <c r="F153">
        <v>68862</v>
      </c>
      <c r="G153">
        <v>9</v>
      </c>
      <c r="H153">
        <v>4</v>
      </c>
      <c r="I153" t="s">
        <v>7</v>
      </c>
      <c r="J153" t="str">
        <f t="shared" si="2"/>
        <v>Senior</v>
      </c>
    </row>
    <row r="154" spans="1:10" ht="15.75" customHeight="1" x14ac:dyDescent="0.25">
      <c r="A154">
        <v>1153</v>
      </c>
      <c r="B154">
        <v>43</v>
      </c>
      <c r="C154" t="s">
        <v>10</v>
      </c>
      <c r="D154" t="s">
        <v>8</v>
      </c>
      <c r="E154" t="s">
        <v>9</v>
      </c>
      <c r="F154">
        <v>98510</v>
      </c>
      <c r="G154">
        <v>3</v>
      </c>
      <c r="H154">
        <v>4</v>
      </c>
      <c r="I154" t="s">
        <v>7</v>
      </c>
      <c r="J154" t="str">
        <f t="shared" si="2"/>
        <v>Mid-Level</v>
      </c>
    </row>
    <row r="155" spans="1:10" ht="15.75" customHeight="1" x14ac:dyDescent="0.25">
      <c r="A155">
        <v>1154</v>
      </c>
      <c r="B155">
        <v>35</v>
      </c>
      <c r="C155" t="s">
        <v>10</v>
      </c>
      <c r="D155" t="s">
        <v>18</v>
      </c>
      <c r="E155" t="s">
        <v>23</v>
      </c>
      <c r="F155">
        <v>103826</v>
      </c>
      <c r="G155">
        <v>17</v>
      </c>
      <c r="H155">
        <v>1</v>
      </c>
      <c r="I155" t="s">
        <v>7</v>
      </c>
      <c r="J155" t="str">
        <f t="shared" si="2"/>
        <v>Senior</v>
      </c>
    </row>
    <row r="156" spans="1:10" ht="15.75" customHeight="1" x14ac:dyDescent="0.25">
      <c r="A156">
        <v>1155</v>
      </c>
      <c r="B156">
        <v>53</v>
      </c>
      <c r="C156" t="s">
        <v>4</v>
      </c>
      <c r="D156" t="s">
        <v>18</v>
      </c>
      <c r="E156" t="s">
        <v>19</v>
      </c>
      <c r="F156">
        <v>41772</v>
      </c>
      <c r="G156">
        <v>4</v>
      </c>
      <c r="H156">
        <v>5</v>
      </c>
      <c r="I156" t="s">
        <v>7</v>
      </c>
      <c r="J156" t="str">
        <f t="shared" si="2"/>
        <v>Mid-Level</v>
      </c>
    </row>
    <row r="157" spans="1:10" ht="15.75" customHeight="1" x14ac:dyDescent="0.25">
      <c r="A157">
        <v>1156</v>
      </c>
      <c r="B157">
        <v>48</v>
      </c>
      <c r="C157" t="s">
        <v>10</v>
      </c>
      <c r="D157" t="s">
        <v>5</v>
      </c>
      <c r="E157" t="s">
        <v>6</v>
      </c>
      <c r="F157">
        <v>70833</v>
      </c>
      <c r="G157">
        <v>16</v>
      </c>
      <c r="H157">
        <v>5</v>
      </c>
      <c r="I157" t="s">
        <v>15</v>
      </c>
      <c r="J157" t="str">
        <f t="shared" si="2"/>
        <v>Senior</v>
      </c>
    </row>
    <row r="158" spans="1:10" ht="15.75" customHeight="1" x14ac:dyDescent="0.25">
      <c r="A158">
        <v>1157</v>
      </c>
      <c r="B158">
        <v>29</v>
      </c>
      <c r="C158" t="s">
        <v>4</v>
      </c>
      <c r="D158" t="s">
        <v>18</v>
      </c>
      <c r="E158" t="s">
        <v>23</v>
      </c>
      <c r="F158">
        <v>43732</v>
      </c>
      <c r="G158">
        <v>10</v>
      </c>
      <c r="H158">
        <v>2</v>
      </c>
      <c r="I158" t="s">
        <v>7</v>
      </c>
      <c r="J158" t="str">
        <f t="shared" si="2"/>
        <v>Senior</v>
      </c>
    </row>
    <row r="159" spans="1:10" ht="15.75" customHeight="1" x14ac:dyDescent="0.25">
      <c r="A159">
        <v>1158</v>
      </c>
      <c r="B159">
        <v>34</v>
      </c>
      <c r="C159" t="s">
        <v>4</v>
      </c>
      <c r="D159" t="s">
        <v>16</v>
      </c>
      <c r="E159" t="s">
        <v>25</v>
      </c>
      <c r="F159">
        <v>31291</v>
      </c>
      <c r="G159">
        <v>17</v>
      </c>
      <c r="H159">
        <v>1</v>
      </c>
      <c r="I159" t="s">
        <v>7</v>
      </c>
      <c r="J159" t="str">
        <f t="shared" si="2"/>
        <v>Senior</v>
      </c>
    </row>
    <row r="160" spans="1:10" ht="15.75" customHeight="1" x14ac:dyDescent="0.25">
      <c r="A160">
        <v>1159</v>
      </c>
      <c r="B160">
        <v>38</v>
      </c>
      <c r="C160" t="s">
        <v>10</v>
      </c>
      <c r="D160" t="s">
        <v>18</v>
      </c>
      <c r="E160" t="s">
        <v>23</v>
      </c>
      <c r="F160">
        <v>69223</v>
      </c>
      <c r="G160">
        <v>6</v>
      </c>
      <c r="H160">
        <v>2</v>
      </c>
      <c r="I160" t="s">
        <v>7</v>
      </c>
      <c r="J160" t="str">
        <f t="shared" si="2"/>
        <v>Mid-Level</v>
      </c>
    </row>
    <row r="161" spans="1:10" ht="15.75" customHeight="1" x14ac:dyDescent="0.25">
      <c r="A161">
        <v>1160</v>
      </c>
      <c r="B161">
        <v>26</v>
      </c>
      <c r="C161" t="s">
        <v>10</v>
      </c>
      <c r="D161" t="s">
        <v>18</v>
      </c>
      <c r="E161" t="s">
        <v>19</v>
      </c>
      <c r="F161">
        <v>88160</v>
      </c>
      <c r="G161">
        <v>2</v>
      </c>
      <c r="H161">
        <v>2</v>
      </c>
      <c r="I161" t="s">
        <v>7</v>
      </c>
      <c r="J161" t="str">
        <f t="shared" si="2"/>
        <v>Junior</v>
      </c>
    </row>
    <row r="162" spans="1:10" ht="15.75" customHeight="1" x14ac:dyDescent="0.25">
      <c r="A162">
        <v>1161</v>
      </c>
      <c r="B162">
        <v>39</v>
      </c>
      <c r="C162" t="s">
        <v>10</v>
      </c>
      <c r="D162" t="s">
        <v>8</v>
      </c>
      <c r="E162" t="s">
        <v>13</v>
      </c>
      <c r="F162">
        <v>110365</v>
      </c>
      <c r="G162">
        <v>1</v>
      </c>
      <c r="H162">
        <v>5</v>
      </c>
      <c r="I162" t="s">
        <v>15</v>
      </c>
      <c r="J162" t="str">
        <f t="shared" si="2"/>
        <v>Junior</v>
      </c>
    </row>
    <row r="163" spans="1:10" ht="15.75" customHeight="1" x14ac:dyDescent="0.25">
      <c r="A163">
        <v>1162</v>
      </c>
      <c r="B163">
        <v>40</v>
      </c>
      <c r="C163" t="s">
        <v>10</v>
      </c>
      <c r="D163" t="s">
        <v>18</v>
      </c>
      <c r="E163" t="s">
        <v>23</v>
      </c>
      <c r="F163">
        <v>30903</v>
      </c>
      <c r="G163">
        <v>9</v>
      </c>
      <c r="H163">
        <v>2</v>
      </c>
      <c r="I163" t="s">
        <v>7</v>
      </c>
      <c r="J163" t="str">
        <f t="shared" si="2"/>
        <v>Senior</v>
      </c>
    </row>
    <row r="164" spans="1:10" ht="15.75" customHeight="1" x14ac:dyDescent="0.25">
      <c r="A164">
        <v>1163</v>
      </c>
      <c r="B164">
        <v>43</v>
      </c>
      <c r="C164" t="s">
        <v>4</v>
      </c>
      <c r="D164" t="s">
        <v>18</v>
      </c>
      <c r="E164" t="s">
        <v>19</v>
      </c>
      <c r="F164">
        <v>86280</v>
      </c>
      <c r="G164">
        <v>13</v>
      </c>
      <c r="H164">
        <v>4</v>
      </c>
      <c r="I164" t="s">
        <v>7</v>
      </c>
      <c r="J164" t="str">
        <f t="shared" si="2"/>
        <v>Senior</v>
      </c>
    </row>
    <row r="165" spans="1:10" ht="15.75" customHeight="1" x14ac:dyDescent="0.25">
      <c r="A165">
        <v>1164</v>
      </c>
      <c r="B165">
        <v>30</v>
      </c>
      <c r="C165" t="s">
        <v>10</v>
      </c>
      <c r="D165" t="s">
        <v>11</v>
      </c>
      <c r="E165" t="s">
        <v>14</v>
      </c>
      <c r="F165">
        <v>45607</v>
      </c>
      <c r="G165">
        <v>9</v>
      </c>
      <c r="H165">
        <v>3</v>
      </c>
      <c r="I165" t="s">
        <v>7</v>
      </c>
      <c r="J165" t="str">
        <f t="shared" si="2"/>
        <v>Senior</v>
      </c>
    </row>
    <row r="166" spans="1:10" ht="15.75" customHeight="1" x14ac:dyDescent="0.25">
      <c r="A166">
        <v>1165</v>
      </c>
      <c r="B166">
        <v>54</v>
      </c>
      <c r="C166" t="s">
        <v>4</v>
      </c>
      <c r="D166" t="s">
        <v>11</v>
      </c>
      <c r="E166" t="s">
        <v>14</v>
      </c>
      <c r="F166">
        <v>90820</v>
      </c>
      <c r="G166">
        <v>19</v>
      </c>
      <c r="H166">
        <v>1</v>
      </c>
      <c r="I166" t="s">
        <v>7</v>
      </c>
      <c r="J166" t="str">
        <f t="shared" si="2"/>
        <v>Senior</v>
      </c>
    </row>
    <row r="167" spans="1:10" ht="15.75" customHeight="1" x14ac:dyDescent="0.25">
      <c r="A167">
        <v>1166</v>
      </c>
      <c r="B167">
        <v>34</v>
      </c>
      <c r="C167" t="s">
        <v>10</v>
      </c>
      <c r="D167" t="s">
        <v>21</v>
      </c>
      <c r="E167" t="s">
        <v>24</v>
      </c>
      <c r="F167">
        <v>44597</v>
      </c>
      <c r="G167">
        <v>13</v>
      </c>
      <c r="H167">
        <v>1</v>
      </c>
      <c r="I167" t="s">
        <v>7</v>
      </c>
      <c r="J167" t="str">
        <f t="shared" si="2"/>
        <v>Senior</v>
      </c>
    </row>
    <row r="168" spans="1:10" ht="15.75" customHeight="1" x14ac:dyDescent="0.25">
      <c r="A168">
        <v>1167</v>
      </c>
      <c r="B168">
        <v>22</v>
      </c>
      <c r="C168" t="s">
        <v>10</v>
      </c>
      <c r="D168" t="s">
        <v>11</v>
      </c>
      <c r="E168" t="s">
        <v>14</v>
      </c>
      <c r="F168">
        <v>108470</v>
      </c>
      <c r="G168">
        <v>8</v>
      </c>
      <c r="H168">
        <v>1</v>
      </c>
      <c r="I168" t="s">
        <v>7</v>
      </c>
      <c r="J168" t="str">
        <f t="shared" si="2"/>
        <v>Senior</v>
      </c>
    </row>
    <row r="169" spans="1:10" ht="15.75" customHeight="1" x14ac:dyDescent="0.25">
      <c r="A169">
        <v>1168</v>
      </c>
      <c r="B169">
        <v>33</v>
      </c>
      <c r="C169" t="s">
        <v>10</v>
      </c>
      <c r="D169" t="s">
        <v>11</v>
      </c>
      <c r="E169" t="s">
        <v>14</v>
      </c>
      <c r="F169">
        <v>89826</v>
      </c>
      <c r="G169">
        <v>11</v>
      </c>
      <c r="H169">
        <v>4</v>
      </c>
      <c r="I169" t="s">
        <v>15</v>
      </c>
      <c r="J169" t="str">
        <f t="shared" si="2"/>
        <v>Senior</v>
      </c>
    </row>
    <row r="170" spans="1:10" ht="15.75" customHeight="1" x14ac:dyDescent="0.25">
      <c r="A170">
        <v>1169</v>
      </c>
      <c r="B170">
        <v>29</v>
      </c>
      <c r="C170" t="s">
        <v>10</v>
      </c>
      <c r="D170" t="s">
        <v>18</v>
      </c>
      <c r="E170" t="s">
        <v>19</v>
      </c>
      <c r="F170">
        <v>61921</v>
      </c>
      <c r="G170">
        <v>7</v>
      </c>
      <c r="H170">
        <v>3</v>
      </c>
      <c r="I170" t="s">
        <v>15</v>
      </c>
      <c r="J170" t="str">
        <f t="shared" si="2"/>
        <v>Senior</v>
      </c>
    </row>
    <row r="171" spans="1:10" ht="15.75" customHeight="1" x14ac:dyDescent="0.25">
      <c r="A171">
        <v>1170</v>
      </c>
      <c r="B171">
        <v>51</v>
      </c>
      <c r="C171" t="s">
        <v>4</v>
      </c>
      <c r="D171" t="s">
        <v>8</v>
      </c>
      <c r="E171" t="s">
        <v>13</v>
      </c>
      <c r="F171">
        <v>98307</v>
      </c>
      <c r="G171">
        <v>14</v>
      </c>
      <c r="H171">
        <v>5</v>
      </c>
      <c r="I171" t="s">
        <v>7</v>
      </c>
      <c r="J171" t="str">
        <f t="shared" si="2"/>
        <v>Senior</v>
      </c>
    </row>
    <row r="172" spans="1:10" ht="15.75" customHeight="1" x14ac:dyDescent="0.25">
      <c r="A172">
        <v>1171</v>
      </c>
      <c r="B172">
        <v>29</v>
      </c>
      <c r="C172" t="s">
        <v>4</v>
      </c>
      <c r="D172" t="s">
        <v>21</v>
      </c>
      <c r="E172" t="s">
        <v>24</v>
      </c>
      <c r="F172">
        <v>117720</v>
      </c>
      <c r="G172">
        <v>11</v>
      </c>
      <c r="H172">
        <v>2</v>
      </c>
      <c r="I172" t="s">
        <v>7</v>
      </c>
      <c r="J172" t="str">
        <f t="shared" si="2"/>
        <v>Senior</v>
      </c>
    </row>
    <row r="173" spans="1:10" ht="15.75" customHeight="1" x14ac:dyDescent="0.25">
      <c r="A173">
        <v>1172</v>
      </c>
      <c r="B173">
        <v>53</v>
      </c>
      <c r="C173" t="s">
        <v>10</v>
      </c>
      <c r="D173" t="s">
        <v>8</v>
      </c>
      <c r="E173" t="s">
        <v>9</v>
      </c>
      <c r="F173">
        <v>44461</v>
      </c>
      <c r="G173">
        <v>15</v>
      </c>
      <c r="H173">
        <v>2</v>
      </c>
      <c r="I173" t="s">
        <v>7</v>
      </c>
      <c r="J173" t="str">
        <f t="shared" si="2"/>
        <v>Senior</v>
      </c>
    </row>
    <row r="174" spans="1:10" ht="15.75" customHeight="1" x14ac:dyDescent="0.25">
      <c r="A174">
        <v>1173</v>
      </c>
      <c r="B174">
        <v>42</v>
      </c>
      <c r="C174" t="s">
        <v>10</v>
      </c>
      <c r="D174" t="s">
        <v>8</v>
      </c>
      <c r="E174" t="s">
        <v>13</v>
      </c>
      <c r="F174">
        <v>82772</v>
      </c>
      <c r="G174">
        <v>13</v>
      </c>
      <c r="H174">
        <v>4</v>
      </c>
      <c r="I174" t="s">
        <v>7</v>
      </c>
      <c r="J174" t="str">
        <f t="shared" si="2"/>
        <v>Senior</v>
      </c>
    </row>
    <row r="175" spans="1:10" ht="15.75" customHeight="1" x14ac:dyDescent="0.25">
      <c r="A175">
        <v>1174</v>
      </c>
      <c r="B175">
        <v>29</v>
      </c>
      <c r="C175" t="s">
        <v>4</v>
      </c>
      <c r="D175" t="s">
        <v>21</v>
      </c>
      <c r="E175" t="s">
        <v>22</v>
      </c>
      <c r="F175">
        <v>68301</v>
      </c>
      <c r="G175">
        <v>6</v>
      </c>
      <c r="H175">
        <v>3</v>
      </c>
      <c r="I175" t="s">
        <v>7</v>
      </c>
      <c r="J175" t="str">
        <f t="shared" si="2"/>
        <v>Mid-Level</v>
      </c>
    </row>
    <row r="176" spans="1:10" ht="15.75" customHeight="1" x14ac:dyDescent="0.25">
      <c r="A176">
        <v>1175</v>
      </c>
      <c r="B176">
        <v>52</v>
      </c>
      <c r="C176" t="s">
        <v>4</v>
      </c>
      <c r="D176" t="s">
        <v>16</v>
      </c>
      <c r="E176" t="s">
        <v>17</v>
      </c>
      <c r="F176">
        <v>71047</v>
      </c>
      <c r="G176">
        <v>4</v>
      </c>
      <c r="H176">
        <v>5</v>
      </c>
      <c r="I176" t="s">
        <v>7</v>
      </c>
      <c r="J176" t="str">
        <f t="shared" si="2"/>
        <v>Mid-Level</v>
      </c>
    </row>
    <row r="177" spans="1:10" ht="15.75" customHeight="1" x14ac:dyDescent="0.25">
      <c r="A177">
        <v>1176</v>
      </c>
      <c r="B177">
        <v>48</v>
      </c>
      <c r="C177" t="s">
        <v>4</v>
      </c>
      <c r="D177" t="s">
        <v>11</v>
      </c>
      <c r="E177" t="s">
        <v>14</v>
      </c>
      <c r="F177">
        <v>70252</v>
      </c>
      <c r="G177">
        <v>14</v>
      </c>
      <c r="H177">
        <v>4</v>
      </c>
      <c r="I177" t="s">
        <v>7</v>
      </c>
      <c r="J177" t="str">
        <f t="shared" si="2"/>
        <v>Senior</v>
      </c>
    </row>
    <row r="178" spans="1:10" ht="15.75" customHeight="1" x14ac:dyDescent="0.25">
      <c r="A178">
        <v>1177</v>
      </c>
      <c r="B178">
        <v>46</v>
      </c>
      <c r="C178" t="s">
        <v>4</v>
      </c>
      <c r="D178" t="s">
        <v>16</v>
      </c>
      <c r="E178" t="s">
        <v>25</v>
      </c>
      <c r="F178">
        <v>32474</v>
      </c>
      <c r="G178">
        <v>6</v>
      </c>
      <c r="H178">
        <v>1</v>
      </c>
      <c r="I178" t="s">
        <v>15</v>
      </c>
      <c r="J178" t="str">
        <f t="shared" si="2"/>
        <v>Mid-Level</v>
      </c>
    </row>
    <row r="179" spans="1:10" ht="15.75" customHeight="1" x14ac:dyDescent="0.25">
      <c r="A179">
        <v>1178</v>
      </c>
      <c r="B179">
        <v>50</v>
      </c>
      <c r="C179" t="s">
        <v>10</v>
      </c>
      <c r="D179" t="s">
        <v>11</v>
      </c>
      <c r="E179" t="s">
        <v>14</v>
      </c>
      <c r="F179">
        <v>105500</v>
      </c>
      <c r="G179">
        <v>4</v>
      </c>
      <c r="H179">
        <v>5</v>
      </c>
      <c r="I179" t="s">
        <v>7</v>
      </c>
      <c r="J179" t="str">
        <f t="shared" si="2"/>
        <v>Mid-Level</v>
      </c>
    </row>
    <row r="180" spans="1:10" ht="15.75" customHeight="1" x14ac:dyDescent="0.25">
      <c r="A180">
        <v>1179</v>
      </c>
      <c r="B180">
        <v>25</v>
      </c>
      <c r="C180" t="s">
        <v>10</v>
      </c>
      <c r="D180" t="s">
        <v>18</v>
      </c>
      <c r="E180" t="s">
        <v>19</v>
      </c>
      <c r="F180">
        <v>118098</v>
      </c>
      <c r="G180">
        <v>13</v>
      </c>
      <c r="H180">
        <v>4</v>
      </c>
      <c r="I180" t="s">
        <v>15</v>
      </c>
      <c r="J180" t="str">
        <f t="shared" si="2"/>
        <v>Senior</v>
      </c>
    </row>
    <row r="181" spans="1:10" ht="15.75" customHeight="1" x14ac:dyDescent="0.25">
      <c r="A181">
        <v>1180</v>
      </c>
      <c r="B181">
        <v>29</v>
      </c>
      <c r="C181" t="s">
        <v>4</v>
      </c>
      <c r="D181" t="s">
        <v>8</v>
      </c>
      <c r="E181" t="s">
        <v>13</v>
      </c>
      <c r="F181">
        <v>79458</v>
      </c>
      <c r="G181">
        <v>17</v>
      </c>
      <c r="H181">
        <v>4</v>
      </c>
      <c r="I181" t="s">
        <v>7</v>
      </c>
      <c r="J181" t="str">
        <f t="shared" si="2"/>
        <v>Senior</v>
      </c>
    </row>
    <row r="182" spans="1:10" ht="15.75" customHeight="1" x14ac:dyDescent="0.25">
      <c r="A182">
        <v>1181</v>
      </c>
      <c r="B182">
        <v>58</v>
      </c>
      <c r="C182" t="s">
        <v>4</v>
      </c>
      <c r="D182" t="s">
        <v>11</v>
      </c>
      <c r="E182" t="s">
        <v>12</v>
      </c>
      <c r="F182">
        <v>84570</v>
      </c>
      <c r="G182">
        <v>0</v>
      </c>
      <c r="H182">
        <v>2</v>
      </c>
      <c r="I182" t="s">
        <v>7</v>
      </c>
      <c r="J182" t="str">
        <f t="shared" si="2"/>
        <v>Junior</v>
      </c>
    </row>
    <row r="183" spans="1:10" ht="15.75" customHeight="1" x14ac:dyDescent="0.25">
      <c r="A183">
        <v>1182</v>
      </c>
      <c r="B183">
        <v>26</v>
      </c>
      <c r="C183" t="s">
        <v>4</v>
      </c>
      <c r="D183" t="s">
        <v>8</v>
      </c>
      <c r="E183" t="s">
        <v>13</v>
      </c>
      <c r="F183">
        <v>76072</v>
      </c>
      <c r="G183">
        <v>6</v>
      </c>
      <c r="H183">
        <v>2</v>
      </c>
      <c r="I183" t="s">
        <v>15</v>
      </c>
      <c r="J183" t="str">
        <f t="shared" si="2"/>
        <v>Mid-Level</v>
      </c>
    </row>
    <row r="184" spans="1:10" ht="15.75" customHeight="1" x14ac:dyDescent="0.25">
      <c r="A184">
        <v>1183</v>
      </c>
      <c r="B184">
        <v>54</v>
      </c>
      <c r="C184" t="s">
        <v>4</v>
      </c>
      <c r="D184" t="s">
        <v>16</v>
      </c>
      <c r="E184" t="s">
        <v>17</v>
      </c>
      <c r="F184">
        <v>68949</v>
      </c>
      <c r="G184">
        <v>0</v>
      </c>
      <c r="H184">
        <v>5</v>
      </c>
      <c r="I184" t="s">
        <v>7</v>
      </c>
      <c r="J184" t="str">
        <f t="shared" si="2"/>
        <v>Junior</v>
      </c>
    </row>
    <row r="185" spans="1:10" ht="15.75" customHeight="1" x14ac:dyDescent="0.25">
      <c r="A185">
        <v>1184</v>
      </c>
      <c r="B185">
        <v>32</v>
      </c>
      <c r="C185" t="s">
        <v>10</v>
      </c>
      <c r="D185" t="s">
        <v>8</v>
      </c>
      <c r="E185" t="s">
        <v>9</v>
      </c>
      <c r="F185">
        <v>88756</v>
      </c>
      <c r="G185">
        <v>12</v>
      </c>
      <c r="H185">
        <v>4</v>
      </c>
      <c r="I185" t="s">
        <v>7</v>
      </c>
      <c r="J185" t="str">
        <f t="shared" si="2"/>
        <v>Senior</v>
      </c>
    </row>
    <row r="186" spans="1:10" ht="15.75" customHeight="1" x14ac:dyDescent="0.25">
      <c r="A186">
        <v>1185</v>
      </c>
      <c r="B186">
        <v>42</v>
      </c>
      <c r="C186" t="s">
        <v>10</v>
      </c>
      <c r="D186" t="s">
        <v>11</v>
      </c>
      <c r="E186" t="s">
        <v>14</v>
      </c>
      <c r="F186">
        <v>54018</v>
      </c>
      <c r="G186">
        <v>1</v>
      </c>
      <c r="H186">
        <v>3</v>
      </c>
      <c r="I186" t="s">
        <v>7</v>
      </c>
      <c r="J186" t="str">
        <f t="shared" si="2"/>
        <v>Junior</v>
      </c>
    </row>
    <row r="187" spans="1:10" ht="15.75" customHeight="1" x14ac:dyDescent="0.25">
      <c r="A187">
        <v>1186</v>
      </c>
      <c r="B187">
        <v>37</v>
      </c>
      <c r="C187" t="s">
        <v>4</v>
      </c>
      <c r="D187" t="s">
        <v>8</v>
      </c>
      <c r="E187" t="s">
        <v>9</v>
      </c>
      <c r="F187">
        <v>47417</v>
      </c>
      <c r="G187">
        <v>0</v>
      </c>
      <c r="H187">
        <v>3</v>
      </c>
      <c r="I187" t="s">
        <v>7</v>
      </c>
      <c r="J187" t="str">
        <f t="shared" si="2"/>
        <v>Junior</v>
      </c>
    </row>
    <row r="188" spans="1:10" ht="15.75" customHeight="1" x14ac:dyDescent="0.25">
      <c r="A188">
        <v>1187</v>
      </c>
      <c r="B188">
        <v>38</v>
      </c>
      <c r="C188" t="s">
        <v>10</v>
      </c>
      <c r="D188" t="s">
        <v>11</v>
      </c>
      <c r="E188" t="s">
        <v>14</v>
      </c>
      <c r="F188">
        <v>45439</v>
      </c>
      <c r="G188">
        <v>13</v>
      </c>
      <c r="H188">
        <v>1</v>
      </c>
      <c r="I188" t="s">
        <v>7</v>
      </c>
      <c r="J188" t="str">
        <f t="shared" si="2"/>
        <v>Senior</v>
      </c>
    </row>
    <row r="189" spans="1:10" ht="15.75" customHeight="1" x14ac:dyDescent="0.25">
      <c r="A189">
        <v>1188</v>
      </c>
      <c r="B189">
        <v>29</v>
      </c>
      <c r="C189" t="s">
        <v>4</v>
      </c>
      <c r="D189" t="s">
        <v>8</v>
      </c>
      <c r="E189" t="s">
        <v>13</v>
      </c>
      <c r="F189">
        <v>69615</v>
      </c>
      <c r="G189">
        <v>12</v>
      </c>
      <c r="H189">
        <v>4</v>
      </c>
      <c r="I189" t="s">
        <v>7</v>
      </c>
      <c r="J189" t="str">
        <f t="shared" si="2"/>
        <v>Senior</v>
      </c>
    </row>
    <row r="190" spans="1:10" ht="15.75" customHeight="1" x14ac:dyDescent="0.25">
      <c r="A190">
        <v>1189</v>
      </c>
      <c r="B190">
        <v>40</v>
      </c>
      <c r="C190" t="s">
        <v>4</v>
      </c>
      <c r="D190" t="s">
        <v>21</v>
      </c>
      <c r="E190" t="s">
        <v>22</v>
      </c>
      <c r="F190">
        <v>116317</v>
      </c>
      <c r="G190">
        <v>3</v>
      </c>
      <c r="H190">
        <v>3</v>
      </c>
      <c r="I190" t="s">
        <v>7</v>
      </c>
      <c r="J190" t="str">
        <f t="shared" si="2"/>
        <v>Mid-Level</v>
      </c>
    </row>
    <row r="191" spans="1:10" ht="15.75" customHeight="1" x14ac:dyDescent="0.25">
      <c r="A191">
        <v>1190</v>
      </c>
      <c r="B191">
        <v>22</v>
      </c>
      <c r="C191" t="s">
        <v>10</v>
      </c>
      <c r="D191" t="s">
        <v>16</v>
      </c>
      <c r="E191" t="s">
        <v>17</v>
      </c>
      <c r="F191">
        <v>104835</v>
      </c>
      <c r="G191">
        <v>7</v>
      </c>
      <c r="H191">
        <v>1</v>
      </c>
      <c r="I191" t="s">
        <v>7</v>
      </c>
      <c r="J191" t="str">
        <f t="shared" si="2"/>
        <v>Senior</v>
      </c>
    </row>
    <row r="192" spans="1:10" ht="15.75" customHeight="1" x14ac:dyDescent="0.25">
      <c r="A192">
        <v>1191</v>
      </c>
      <c r="B192">
        <v>50</v>
      </c>
      <c r="C192" t="s">
        <v>10</v>
      </c>
      <c r="D192" t="s">
        <v>8</v>
      </c>
      <c r="E192" t="s">
        <v>9</v>
      </c>
      <c r="F192">
        <v>40564</v>
      </c>
      <c r="G192">
        <v>19</v>
      </c>
      <c r="H192">
        <v>3</v>
      </c>
      <c r="I192" t="s">
        <v>15</v>
      </c>
      <c r="J192" t="str">
        <f t="shared" si="2"/>
        <v>Senior</v>
      </c>
    </row>
    <row r="193" spans="1:10" ht="15.75" customHeight="1" x14ac:dyDescent="0.25">
      <c r="A193">
        <v>1192</v>
      </c>
      <c r="B193">
        <v>58</v>
      </c>
      <c r="C193" t="s">
        <v>4</v>
      </c>
      <c r="D193" t="s">
        <v>21</v>
      </c>
      <c r="E193" t="s">
        <v>22</v>
      </c>
      <c r="F193">
        <v>76701</v>
      </c>
      <c r="G193">
        <v>5</v>
      </c>
      <c r="H193">
        <v>2</v>
      </c>
      <c r="I193" t="s">
        <v>7</v>
      </c>
      <c r="J193" t="str">
        <f t="shared" si="2"/>
        <v>Mid-Level</v>
      </c>
    </row>
    <row r="194" spans="1:10" ht="15.75" customHeight="1" x14ac:dyDescent="0.25">
      <c r="A194">
        <v>1193</v>
      </c>
      <c r="B194">
        <v>32</v>
      </c>
      <c r="C194" t="s">
        <v>4</v>
      </c>
      <c r="D194" t="s">
        <v>5</v>
      </c>
      <c r="E194" t="s">
        <v>20</v>
      </c>
      <c r="F194">
        <v>59178</v>
      </c>
      <c r="G194">
        <v>14</v>
      </c>
      <c r="H194">
        <v>2</v>
      </c>
      <c r="I194" t="s">
        <v>7</v>
      </c>
      <c r="J194" t="str">
        <f t="shared" ref="J194:J257" si="3">IF(G194&lt;3,"Junior",IF(G194&lt;7,"Mid-Level","Senior"))</f>
        <v>Senior</v>
      </c>
    </row>
    <row r="195" spans="1:10" ht="15.75" customHeight="1" x14ac:dyDescent="0.25">
      <c r="A195">
        <v>1194</v>
      </c>
      <c r="B195">
        <v>57</v>
      </c>
      <c r="C195" t="s">
        <v>10</v>
      </c>
      <c r="D195" t="s">
        <v>8</v>
      </c>
      <c r="E195" t="s">
        <v>13</v>
      </c>
      <c r="F195">
        <v>86673</v>
      </c>
      <c r="G195">
        <v>12</v>
      </c>
      <c r="H195">
        <v>5</v>
      </c>
      <c r="I195" t="s">
        <v>7</v>
      </c>
      <c r="J195" t="str">
        <f t="shared" si="3"/>
        <v>Senior</v>
      </c>
    </row>
    <row r="196" spans="1:10" ht="15.75" customHeight="1" x14ac:dyDescent="0.25">
      <c r="A196">
        <v>1195</v>
      </c>
      <c r="B196">
        <v>44</v>
      </c>
      <c r="C196" t="s">
        <v>4</v>
      </c>
      <c r="D196" t="s">
        <v>21</v>
      </c>
      <c r="E196" t="s">
        <v>22</v>
      </c>
      <c r="F196">
        <v>47104</v>
      </c>
      <c r="G196">
        <v>5</v>
      </c>
      <c r="H196">
        <v>5</v>
      </c>
      <c r="I196" t="s">
        <v>7</v>
      </c>
      <c r="J196" t="str">
        <f t="shared" si="3"/>
        <v>Mid-Level</v>
      </c>
    </row>
    <row r="197" spans="1:10" ht="15.75" customHeight="1" x14ac:dyDescent="0.25">
      <c r="A197">
        <v>1196</v>
      </c>
      <c r="B197">
        <v>41</v>
      </c>
      <c r="C197" t="s">
        <v>4</v>
      </c>
      <c r="D197" t="s">
        <v>5</v>
      </c>
      <c r="E197" t="s">
        <v>20</v>
      </c>
      <c r="F197">
        <v>116743</v>
      </c>
      <c r="G197">
        <v>10</v>
      </c>
      <c r="H197">
        <v>3</v>
      </c>
      <c r="I197" t="s">
        <v>7</v>
      </c>
      <c r="J197" t="str">
        <f t="shared" si="3"/>
        <v>Senior</v>
      </c>
    </row>
    <row r="198" spans="1:10" ht="15.75" customHeight="1" x14ac:dyDescent="0.25">
      <c r="A198">
        <v>1197</v>
      </c>
      <c r="B198">
        <v>29</v>
      </c>
      <c r="C198" t="s">
        <v>4</v>
      </c>
      <c r="D198" t="s">
        <v>16</v>
      </c>
      <c r="E198" t="s">
        <v>17</v>
      </c>
      <c r="F198">
        <v>108336</v>
      </c>
      <c r="G198">
        <v>1</v>
      </c>
      <c r="H198">
        <v>1</v>
      </c>
      <c r="I198" t="s">
        <v>7</v>
      </c>
      <c r="J198" t="str">
        <f t="shared" si="3"/>
        <v>Junior</v>
      </c>
    </row>
    <row r="199" spans="1:10" ht="15.75" customHeight="1" x14ac:dyDescent="0.25">
      <c r="A199">
        <v>1198</v>
      </c>
      <c r="B199">
        <v>26</v>
      </c>
      <c r="C199" t="s">
        <v>10</v>
      </c>
      <c r="D199" t="s">
        <v>16</v>
      </c>
      <c r="E199" t="s">
        <v>17</v>
      </c>
      <c r="F199">
        <v>39126</v>
      </c>
      <c r="G199">
        <v>2</v>
      </c>
      <c r="H199">
        <v>4</v>
      </c>
      <c r="I199" t="s">
        <v>7</v>
      </c>
      <c r="J199" t="str">
        <f t="shared" si="3"/>
        <v>Junior</v>
      </c>
    </row>
    <row r="200" spans="1:10" ht="15.75" customHeight="1" x14ac:dyDescent="0.25">
      <c r="A200">
        <v>1199</v>
      </c>
      <c r="B200">
        <v>24</v>
      </c>
      <c r="C200" t="s">
        <v>10</v>
      </c>
      <c r="D200" t="s">
        <v>16</v>
      </c>
      <c r="E200" t="s">
        <v>25</v>
      </c>
      <c r="F200">
        <v>42465</v>
      </c>
      <c r="G200">
        <v>0</v>
      </c>
      <c r="H200">
        <v>5</v>
      </c>
      <c r="I200" t="s">
        <v>7</v>
      </c>
      <c r="J200" t="str">
        <f t="shared" si="3"/>
        <v>Junior</v>
      </c>
    </row>
    <row r="201" spans="1:10" ht="15.75" customHeight="1" x14ac:dyDescent="0.25">
      <c r="A201">
        <v>1200</v>
      </c>
      <c r="B201">
        <v>42</v>
      </c>
      <c r="C201" t="s">
        <v>10</v>
      </c>
      <c r="D201" t="s">
        <v>16</v>
      </c>
      <c r="E201" t="s">
        <v>17</v>
      </c>
      <c r="F201">
        <v>48825</v>
      </c>
      <c r="G201">
        <v>16</v>
      </c>
      <c r="H201">
        <v>5</v>
      </c>
      <c r="I201" t="s">
        <v>15</v>
      </c>
      <c r="J201" t="str">
        <f t="shared" si="3"/>
        <v>Senior</v>
      </c>
    </row>
    <row r="202" spans="1:10" ht="15.75" customHeight="1" x14ac:dyDescent="0.25">
      <c r="A202">
        <v>1201</v>
      </c>
      <c r="B202">
        <v>25</v>
      </c>
      <c r="C202" t="s">
        <v>4</v>
      </c>
      <c r="D202" t="s">
        <v>11</v>
      </c>
      <c r="E202" t="s">
        <v>12</v>
      </c>
      <c r="F202">
        <v>56584</v>
      </c>
      <c r="G202">
        <v>20</v>
      </c>
      <c r="H202">
        <v>5</v>
      </c>
      <c r="I202" t="s">
        <v>7</v>
      </c>
      <c r="J202" t="str">
        <f t="shared" si="3"/>
        <v>Senior</v>
      </c>
    </row>
    <row r="203" spans="1:10" ht="15.75" customHeight="1" x14ac:dyDescent="0.25">
      <c r="A203">
        <v>1202</v>
      </c>
      <c r="B203">
        <v>40</v>
      </c>
      <c r="C203" t="s">
        <v>4</v>
      </c>
      <c r="D203" t="s">
        <v>21</v>
      </c>
      <c r="E203" t="s">
        <v>24</v>
      </c>
      <c r="F203">
        <v>113217</v>
      </c>
      <c r="G203">
        <v>13</v>
      </c>
      <c r="H203">
        <v>5</v>
      </c>
      <c r="I203" t="s">
        <v>15</v>
      </c>
      <c r="J203" t="str">
        <f t="shared" si="3"/>
        <v>Senior</v>
      </c>
    </row>
    <row r="204" spans="1:10" ht="15.75" customHeight="1" x14ac:dyDescent="0.25">
      <c r="A204">
        <v>1203</v>
      </c>
      <c r="B204">
        <v>57</v>
      </c>
      <c r="C204" t="s">
        <v>10</v>
      </c>
      <c r="D204" t="s">
        <v>5</v>
      </c>
      <c r="E204" t="s">
        <v>6</v>
      </c>
      <c r="F204">
        <v>86803</v>
      </c>
      <c r="G204">
        <v>18</v>
      </c>
      <c r="H204">
        <v>4</v>
      </c>
      <c r="I204" t="s">
        <v>7</v>
      </c>
      <c r="J204" t="str">
        <f t="shared" si="3"/>
        <v>Senior</v>
      </c>
    </row>
    <row r="205" spans="1:10" ht="15.75" customHeight="1" x14ac:dyDescent="0.25">
      <c r="A205">
        <v>1204</v>
      </c>
      <c r="B205">
        <v>58</v>
      </c>
      <c r="C205" t="s">
        <v>4</v>
      </c>
      <c r="D205" t="s">
        <v>21</v>
      </c>
      <c r="E205" t="s">
        <v>22</v>
      </c>
      <c r="F205">
        <v>24640</v>
      </c>
      <c r="G205">
        <v>18</v>
      </c>
      <c r="H205">
        <v>4</v>
      </c>
      <c r="I205" t="s">
        <v>7</v>
      </c>
      <c r="J205" t="str">
        <f t="shared" si="3"/>
        <v>Senior</v>
      </c>
    </row>
    <row r="206" spans="1:10" ht="15.75" customHeight="1" x14ac:dyDescent="0.25">
      <c r="A206">
        <v>1205</v>
      </c>
      <c r="B206">
        <v>46</v>
      </c>
      <c r="C206" t="s">
        <v>4</v>
      </c>
      <c r="D206" t="s">
        <v>11</v>
      </c>
      <c r="E206" t="s">
        <v>14</v>
      </c>
      <c r="F206">
        <v>24711</v>
      </c>
      <c r="G206">
        <v>18</v>
      </c>
      <c r="H206">
        <v>2</v>
      </c>
      <c r="I206" t="s">
        <v>15</v>
      </c>
      <c r="J206" t="str">
        <f t="shared" si="3"/>
        <v>Senior</v>
      </c>
    </row>
    <row r="207" spans="1:10" ht="15.75" customHeight="1" x14ac:dyDescent="0.25">
      <c r="A207">
        <v>1206</v>
      </c>
      <c r="B207">
        <v>55</v>
      </c>
      <c r="C207" t="s">
        <v>4</v>
      </c>
      <c r="D207" t="s">
        <v>8</v>
      </c>
      <c r="E207" t="s">
        <v>13</v>
      </c>
      <c r="F207">
        <v>104705</v>
      </c>
      <c r="G207">
        <v>0</v>
      </c>
      <c r="H207">
        <v>5</v>
      </c>
      <c r="I207" t="s">
        <v>7</v>
      </c>
      <c r="J207" t="str">
        <f t="shared" si="3"/>
        <v>Junior</v>
      </c>
    </row>
    <row r="208" spans="1:10" ht="15.75" customHeight="1" x14ac:dyDescent="0.25">
      <c r="A208">
        <v>1207</v>
      </c>
      <c r="B208">
        <v>35</v>
      </c>
      <c r="C208" t="s">
        <v>10</v>
      </c>
      <c r="D208" t="s">
        <v>8</v>
      </c>
      <c r="E208" t="s">
        <v>13</v>
      </c>
      <c r="F208">
        <v>69021</v>
      </c>
      <c r="G208">
        <v>6</v>
      </c>
      <c r="H208">
        <v>4</v>
      </c>
      <c r="I208" t="s">
        <v>7</v>
      </c>
      <c r="J208" t="str">
        <f t="shared" si="3"/>
        <v>Mid-Level</v>
      </c>
    </row>
    <row r="209" spans="1:10" ht="15.75" customHeight="1" x14ac:dyDescent="0.25">
      <c r="A209">
        <v>1208</v>
      </c>
      <c r="B209">
        <v>56</v>
      </c>
      <c r="C209" t="s">
        <v>10</v>
      </c>
      <c r="D209" t="s">
        <v>5</v>
      </c>
      <c r="E209" t="s">
        <v>20</v>
      </c>
      <c r="F209">
        <v>73453</v>
      </c>
      <c r="G209">
        <v>1</v>
      </c>
      <c r="H209">
        <v>5</v>
      </c>
      <c r="I209" t="s">
        <v>7</v>
      </c>
      <c r="J209" t="str">
        <f t="shared" si="3"/>
        <v>Junior</v>
      </c>
    </row>
    <row r="210" spans="1:10" ht="15.75" customHeight="1" x14ac:dyDescent="0.25">
      <c r="A210">
        <v>1209</v>
      </c>
      <c r="B210">
        <v>43</v>
      </c>
      <c r="C210" t="s">
        <v>10</v>
      </c>
      <c r="D210" t="s">
        <v>18</v>
      </c>
      <c r="E210" t="s">
        <v>19</v>
      </c>
      <c r="F210">
        <v>49344</v>
      </c>
      <c r="G210">
        <v>17</v>
      </c>
      <c r="H210">
        <v>1</v>
      </c>
      <c r="I210" t="s">
        <v>7</v>
      </c>
      <c r="J210" t="str">
        <f t="shared" si="3"/>
        <v>Senior</v>
      </c>
    </row>
    <row r="211" spans="1:10" ht="15.75" customHeight="1" x14ac:dyDescent="0.25">
      <c r="A211">
        <v>1210</v>
      </c>
      <c r="B211">
        <v>30</v>
      </c>
      <c r="C211" t="s">
        <v>4</v>
      </c>
      <c r="D211" t="s">
        <v>18</v>
      </c>
      <c r="E211" t="s">
        <v>19</v>
      </c>
      <c r="F211">
        <v>89025</v>
      </c>
      <c r="G211">
        <v>14</v>
      </c>
      <c r="H211">
        <v>4</v>
      </c>
      <c r="I211" t="s">
        <v>7</v>
      </c>
      <c r="J211" t="str">
        <f t="shared" si="3"/>
        <v>Senior</v>
      </c>
    </row>
    <row r="212" spans="1:10" ht="15.75" customHeight="1" x14ac:dyDescent="0.25">
      <c r="A212">
        <v>1211</v>
      </c>
      <c r="B212">
        <v>56</v>
      </c>
      <c r="C212" t="s">
        <v>4</v>
      </c>
      <c r="D212" t="s">
        <v>21</v>
      </c>
      <c r="E212" t="s">
        <v>22</v>
      </c>
      <c r="F212">
        <v>68623</v>
      </c>
      <c r="G212">
        <v>9</v>
      </c>
      <c r="H212">
        <v>4</v>
      </c>
      <c r="I212" t="s">
        <v>7</v>
      </c>
      <c r="J212" t="str">
        <f t="shared" si="3"/>
        <v>Senior</v>
      </c>
    </row>
    <row r="213" spans="1:10" ht="15.75" customHeight="1" x14ac:dyDescent="0.25">
      <c r="A213">
        <v>1212</v>
      </c>
      <c r="B213">
        <v>27</v>
      </c>
      <c r="C213" t="s">
        <v>4</v>
      </c>
      <c r="D213" t="s">
        <v>18</v>
      </c>
      <c r="E213" t="s">
        <v>19</v>
      </c>
      <c r="F213">
        <v>27251</v>
      </c>
      <c r="G213">
        <v>16</v>
      </c>
      <c r="H213">
        <v>4</v>
      </c>
      <c r="I213" t="s">
        <v>7</v>
      </c>
      <c r="J213" t="str">
        <f t="shared" si="3"/>
        <v>Senior</v>
      </c>
    </row>
    <row r="214" spans="1:10" ht="15.75" customHeight="1" x14ac:dyDescent="0.25">
      <c r="A214">
        <v>1213</v>
      </c>
      <c r="B214">
        <v>39</v>
      </c>
      <c r="C214" t="s">
        <v>10</v>
      </c>
      <c r="D214" t="s">
        <v>18</v>
      </c>
      <c r="E214" t="s">
        <v>19</v>
      </c>
      <c r="F214">
        <v>33575</v>
      </c>
      <c r="G214">
        <v>5</v>
      </c>
      <c r="H214">
        <v>1</v>
      </c>
      <c r="I214" t="s">
        <v>7</v>
      </c>
      <c r="J214" t="str">
        <f t="shared" si="3"/>
        <v>Mid-Level</v>
      </c>
    </row>
    <row r="215" spans="1:10" ht="15.75" customHeight="1" x14ac:dyDescent="0.25">
      <c r="A215">
        <v>1214</v>
      </c>
      <c r="B215">
        <v>32</v>
      </c>
      <c r="C215" t="s">
        <v>10</v>
      </c>
      <c r="D215" t="s">
        <v>21</v>
      </c>
      <c r="E215" t="s">
        <v>24</v>
      </c>
      <c r="F215">
        <v>78840</v>
      </c>
      <c r="G215">
        <v>15</v>
      </c>
      <c r="H215">
        <v>1</v>
      </c>
      <c r="I215" t="s">
        <v>7</v>
      </c>
      <c r="J215" t="str">
        <f t="shared" si="3"/>
        <v>Senior</v>
      </c>
    </row>
    <row r="216" spans="1:10" ht="15.75" customHeight="1" x14ac:dyDescent="0.25">
      <c r="A216">
        <v>1215</v>
      </c>
      <c r="B216">
        <v>34</v>
      </c>
      <c r="C216" t="s">
        <v>10</v>
      </c>
      <c r="D216" t="s">
        <v>18</v>
      </c>
      <c r="E216" t="s">
        <v>19</v>
      </c>
      <c r="F216">
        <v>81928</v>
      </c>
      <c r="G216">
        <v>4</v>
      </c>
      <c r="H216">
        <v>4</v>
      </c>
      <c r="I216" t="s">
        <v>15</v>
      </c>
      <c r="J216" t="str">
        <f t="shared" si="3"/>
        <v>Mid-Level</v>
      </c>
    </row>
    <row r="217" spans="1:10" ht="15.75" customHeight="1" x14ac:dyDescent="0.25">
      <c r="A217">
        <v>1216</v>
      </c>
      <c r="B217">
        <v>31</v>
      </c>
      <c r="C217" t="s">
        <v>4</v>
      </c>
      <c r="D217" t="s">
        <v>18</v>
      </c>
      <c r="E217" t="s">
        <v>23</v>
      </c>
      <c r="F217">
        <v>93030</v>
      </c>
      <c r="G217">
        <v>18</v>
      </c>
      <c r="H217">
        <v>3</v>
      </c>
      <c r="I217" t="s">
        <v>7</v>
      </c>
      <c r="J217" t="str">
        <f t="shared" si="3"/>
        <v>Senior</v>
      </c>
    </row>
    <row r="218" spans="1:10" ht="15.75" customHeight="1" x14ac:dyDescent="0.25">
      <c r="A218">
        <v>1217</v>
      </c>
      <c r="B218">
        <v>30</v>
      </c>
      <c r="C218" t="s">
        <v>4</v>
      </c>
      <c r="D218" t="s">
        <v>18</v>
      </c>
      <c r="E218" t="s">
        <v>23</v>
      </c>
      <c r="F218">
        <v>39645</v>
      </c>
      <c r="G218">
        <v>12</v>
      </c>
      <c r="H218">
        <v>3</v>
      </c>
      <c r="I218" t="s">
        <v>7</v>
      </c>
      <c r="J218" t="str">
        <f t="shared" si="3"/>
        <v>Senior</v>
      </c>
    </row>
    <row r="219" spans="1:10" ht="15.75" customHeight="1" x14ac:dyDescent="0.25">
      <c r="A219">
        <v>1218</v>
      </c>
      <c r="B219">
        <v>22</v>
      </c>
      <c r="C219" t="s">
        <v>4</v>
      </c>
      <c r="D219" t="s">
        <v>8</v>
      </c>
      <c r="E219" t="s">
        <v>9</v>
      </c>
      <c r="F219">
        <v>83649</v>
      </c>
      <c r="G219">
        <v>3</v>
      </c>
      <c r="H219">
        <v>1</v>
      </c>
      <c r="I219" t="s">
        <v>7</v>
      </c>
      <c r="J219" t="str">
        <f t="shared" si="3"/>
        <v>Mid-Level</v>
      </c>
    </row>
    <row r="220" spans="1:10" ht="15.75" customHeight="1" x14ac:dyDescent="0.25">
      <c r="A220">
        <v>1219</v>
      </c>
      <c r="B220">
        <v>34</v>
      </c>
      <c r="C220" t="s">
        <v>4</v>
      </c>
      <c r="D220" t="s">
        <v>8</v>
      </c>
      <c r="E220" t="s">
        <v>13</v>
      </c>
      <c r="F220">
        <v>40758</v>
      </c>
      <c r="G220">
        <v>1</v>
      </c>
      <c r="H220">
        <v>4</v>
      </c>
      <c r="I220" t="s">
        <v>7</v>
      </c>
      <c r="J220" t="str">
        <f t="shared" si="3"/>
        <v>Junior</v>
      </c>
    </row>
    <row r="221" spans="1:10" ht="15.75" customHeight="1" x14ac:dyDescent="0.25">
      <c r="A221">
        <v>1220</v>
      </c>
      <c r="B221">
        <v>28</v>
      </c>
      <c r="C221" t="s">
        <v>10</v>
      </c>
      <c r="D221" t="s">
        <v>8</v>
      </c>
      <c r="E221" t="s">
        <v>9</v>
      </c>
      <c r="F221">
        <v>23278</v>
      </c>
      <c r="G221">
        <v>16</v>
      </c>
      <c r="H221">
        <v>2</v>
      </c>
      <c r="I221" t="s">
        <v>15</v>
      </c>
      <c r="J221" t="str">
        <f t="shared" si="3"/>
        <v>Senior</v>
      </c>
    </row>
    <row r="222" spans="1:10" ht="15.75" customHeight="1" x14ac:dyDescent="0.25">
      <c r="A222">
        <v>1221</v>
      </c>
      <c r="B222">
        <v>41</v>
      </c>
      <c r="C222" t="s">
        <v>10</v>
      </c>
      <c r="D222" t="s">
        <v>11</v>
      </c>
      <c r="E222" t="s">
        <v>12</v>
      </c>
      <c r="F222">
        <v>83731</v>
      </c>
      <c r="G222">
        <v>3</v>
      </c>
      <c r="H222">
        <v>2</v>
      </c>
      <c r="I222" t="s">
        <v>7</v>
      </c>
      <c r="J222" t="str">
        <f t="shared" si="3"/>
        <v>Mid-Level</v>
      </c>
    </row>
    <row r="223" spans="1:10" ht="15.75" customHeight="1" x14ac:dyDescent="0.25">
      <c r="A223">
        <v>1222</v>
      </c>
      <c r="B223">
        <v>29</v>
      </c>
      <c r="C223" t="s">
        <v>4</v>
      </c>
      <c r="D223" t="s">
        <v>5</v>
      </c>
      <c r="E223" t="s">
        <v>20</v>
      </c>
      <c r="F223">
        <v>69657</v>
      </c>
      <c r="G223">
        <v>1</v>
      </c>
      <c r="H223">
        <v>1</v>
      </c>
      <c r="I223" t="s">
        <v>7</v>
      </c>
      <c r="J223" t="str">
        <f t="shared" si="3"/>
        <v>Junior</v>
      </c>
    </row>
    <row r="224" spans="1:10" ht="15.75" customHeight="1" x14ac:dyDescent="0.25">
      <c r="A224">
        <v>1223</v>
      </c>
      <c r="B224">
        <v>38</v>
      </c>
      <c r="C224" t="s">
        <v>4</v>
      </c>
      <c r="D224" t="s">
        <v>8</v>
      </c>
      <c r="E224" t="s">
        <v>13</v>
      </c>
      <c r="F224">
        <v>30595</v>
      </c>
      <c r="G224">
        <v>14</v>
      </c>
      <c r="H224">
        <v>5</v>
      </c>
      <c r="I224" t="s">
        <v>7</v>
      </c>
      <c r="J224" t="str">
        <f t="shared" si="3"/>
        <v>Senior</v>
      </c>
    </row>
    <row r="225" spans="1:10" ht="15.75" customHeight="1" x14ac:dyDescent="0.25">
      <c r="A225">
        <v>1224</v>
      </c>
      <c r="B225">
        <v>45</v>
      </c>
      <c r="C225" t="s">
        <v>4</v>
      </c>
      <c r="D225" t="s">
        <v>5</v>
      </c>
      <c r="E225" t="s">
        <v>6</v>
      </c>
      <c r="F225">
        <v>102810</v>
      </c>
      <c r="G225">
        <v>4</v>
      </c>
      <c r="H225">
        <v>1</v>
      </c>
      <c r="I225" t="s">
        <v>7</v>
      </c>
      <c r="J225" t="str">
        <f t="shared" si="3"/>
        <v>Mid-Level</v>
      </c>
    </row>
    <row r="226" spans="1:10" ht="15.75" customHeight="1" x14ac:dyDescent="0.25">
      <c r="A226">
        <v>1225</v>
      </c>
      <c r="B226">
        <v>51</v>
      </c>
      <c r="C226" t="s">
        <v>10</v>
      </c>
      <c r="D226" t="s">
        <v>8</v>
      </c>
      <c r="E226" t="s">
        <v>9</v>
      </c>
      <c r="F226">
        <v>95966</v>
      </c>
      <c r="G226">
        <v>17</v>
      </c>
      <c r="H226">
        <v>1</v>
      </c>
      <c r="I226" t="s">
        <v>7</v>
      </c>
      <c r="J226" t="str">
        <f t="shared" si="3"/>
        <v>Senior</v>
      </c>
    </row>
    <row r="227" spans="1:10" ht="15.75" customHeight="1" x14ac:dyDescent="0.25">
      <c r="A227">
        <v>1226</v>
      </c>
      <c r="B227">
        <v>52</v>
      </c>
      <c r="C227" t="s">
        <v>10</v>
      </c>
      <c r="D227" t="s">
        <v>5</v>
      </c>
      <c r="E227" t="s">
        <v>26</v>
      </c>
      <c r="F227">
        <v>72729</v>
      </c>
      <c r="G227">
        <v>7</v>
      </c>
      <c r="H227">
        <v>1</v>
      </c>
      <c r="I227" t="s">
        <v>7</v>
      </c>
      <c r="J227" t="str">
        <f t="shared" si="3"/>
        <v>Senior</v>
      </c>
    </row>
    <row r="228" spans="1:10" ht="15.75" customHeight="1" x14ac:dyDescent="0.25">
      <c r="A228">
        <v>1227</v>
      </c>
      <c r="B228">
        <v>34</v>
      </c>
      <c r="C228" t="s">
        <v>10</v>
      </c>
      <c r="D228" t="s">
        <v>21</v>
      </c>
      <c r="E228" t="s">
        <v>22</v>
      </c>
      <c r="F228">
        <v>114268</v>
      </c>
      <c r="G228">
        <v>19</v>
      </c>
      <c r="H228">
        <v>3</v>
      </c>
      <c r="I228" t="s">
        <v>7</v>
      </c>
      <c r="J228" t="str">
        <f t="shared" si="3"/>
        <v>Senior</v>
      </c>
    </row>
    <row r="229" spans="1:10" ht="15.75" customHeight="1" x14ac:dyDescent="0.25">
      <c r="A229">
        <v>1228</v>
      </c>
      <c r="B229">
        <v>43</v>
      </c>
      <c r="C229" t="s">
        <v>10</v>
      </c>
      <c r="D229" t="s">
        <v>16</v>
      </c>
      <c r="E229" t="s">
        <v>17</v>
      </c>
      <c r="F229">
        <v>62466</v>
      </c>
      <c r="G229">
        <v>7</v>
      </c>
      <c r="H229">
        <v>5</v>
      </c>
      <c r="I229" t="s">
        <v>7</v>
      </c>
      <c r="J229" t="str">
        <f t="shared" si="3"/>
        <v>Senior</v>
      </c>
    </row>
    <row r="230" spans="1:10" ht="15.75" customHeight="1" x14ac:dyDescent="0.25">
      <c r="A230">
        <v>1229</v>
      </c>
      <c r="B230">
        <v>54</v>
      </c>
      <c r="C230" t="s">
        <v>4</v>
      </c>
      <c r="D230" t="s">
        <v>8</v>
      </c>
      <c r="E230" t="s">
        <v>13</v>
      </c>
      <c r="F230">
        <v>43852</v>
      </c>
      <c r="G230">
        <v>0</v>
      </c>
      <c r="H230">
        <v>1</v>
      </c>
      <c r="I230" t="s">
        <v>7</v>
      </c>
      <c r="J230" t="str">
        <f t="shared" si="3"/>
        <v>Junior</v>
      </c>
    </row>
    <row r="231" spans="1:10" ht="15.75" customHeight="1" x14ac:dyDescent="0.25">
      <c r="A231">
        <v>1230</v>
      </c>
      <c r="B231">
        <v>22</v>
      </c>
      <c r="C231" t="s">
        <v>10</v>
      </c>
      <c r="D231" t="s">
        <v>18</v>
      </c>
      <c r="E231" t="s">
        <v>23</v>
      </c>
      <c r="F231">
        <v>79229</v>
      </c>
      <c r="G231">
        <v>18</v>
      </c>
      <c r="H231">
        <v>2</v>
      </c>
      <c r="I231" t="s">
        <v>7</v>
      </c>
      <c r="J231" t="str">
        <f t="shared" si="3"/>
        <v>Senior</v>
      </c>
    </row>
    <row r="232" spans="1:10" ht="15.75" customHeight="1" x14ac:dyDescent="0.25">
      <c r="A232">
        <v>1231</v>
      </c>
      <c r="B232">
        <v>36</v>
      </c>
      <c r="C232" t="s">
        <v>4</v>
      </c>
      <c r="D232" t="s">
        <v>8</v>
      </c>
      <c r="E232" t="s">
        <v>9</v>
      </c>
      <c r="F232">
        <v>98176</v>
      </c>
      <c r="G232">
        <v>17</v>
      </c>
      <c r="H232">
        <v>5</v>
      </c>
      <c r="I232" t="s">
        <v>15</v>
      </c>
      <c r="J232" t="str">
        <f t="shared" si="3"/>
        <v>Senior</v>
      </c>
    </row>
    <row r="233" spans="1:10" ht="15.75" customHeight="1" x14ac:dyDescent="0.25">
      <c r="A233">
        <v>1232</v>
      </c>
      <c r="B233">
        <v>50</v>
      </c>
      <c r="C233" t="s">
        <v>4</v>
      </c>
      <c r="D233" t="s">
        <v>21</v>
      </c>
      <c r="E233" t="s">
        <v>22</v>
      </c>
      <c r="F233">
        <v>44485</v>
      </c>
      <c r="G233">
        <v>17</v>
      </c>
      <c r="H233">
        <v>2</v>
      </c>
      <c r="I233" t="s">
        <v>7</v>
      </c>
      <c r="J233" t="str">
        <f t="shared" si="3"/>
        <v>Senior</v>
      </c>
    </row>
    <row r="234" spans="1:10" ht="15.75" customHeight="1" x14ac:dyDescent="0.25">
      <c r="A234">
        <v>1233</v>
      </c>
      <c r="B234">
        <v>57</v>
      </c>
      <c r="C234" t="s">
        <v>10</v>
      </c>
      <c r="D234" t="s">
        <v>16</v>
      </c>
      <c r="E234" t="s">
        <v>17</v>
      </c>
      <c r="F234">
        <v>20360</v>
      </c>
      <c r="G234">
        <v>15</v>
      </c>
      <c r="H234">
        <v>4</v>
      </c>
      <c r="I234" t="s">
        <v>7</v>
      </c>
      <c r="J234" t="str">
        <f t="shared" si="3"/>
        <v>Senior</v>
      </c>
    </row>
    <row r="235" spans="1:10" ht="15.75" customHeight="1" x14ac:dyDescent="0.25">
      <c r="A235">
        <v>1234</v>
      </c>
      <c r="B235">
        <v>41</v>
      </c>
      <c r="C235" t="s">
        <v>4</v>
      </c>
      <c r="D235" t="s">
        <v>8</v>
      </c>
      <c r="E235" t="s">
        <v>9</v>
      </c>
      <c r="F235">
        <v>72943</v>
      </c>
      <c r="G235">
        <v>20</v>
      </c>
      <c r="H235">
        <v>1</v>
      </c>
      <c r="I235" t="s">
        <v>7</v>
      </c>
      <c r="J235" t="str">
        <f t="shared" si="3"/>
        <v>Senior</v>
      </c>
    </row>
    <row r="236" spans="1:10" ht="15.75" customHeight="1" x14ac:dyDescent="0.25">
      <c r="A236">
        <v>1235</v>
      </c>
      <c r="B236">
        <v>27</v>
      </c>
      <c r="C236" t="s">
        <v>4</v>
      </c>
      <c r="D236" t="s">
        <v>21</v>
      </c>
      <c r="E236" t="s">
        <v>22</v>
      </c>
      <c r="F236">
        <v>114584</v>
      </c>
      <c r="G236">
        <v>6</v>
      </c>
      <c r="H236">
        <v>3</v>
      </c>
      <c r="I236" t="s">
        <v>7</v>
      </c>
      <c r="J236" t="str">
        <f t="shared" si="3"/>
        <v>Mid-Level</v>
      </c>
    </row>
    <row r="237" spans="1:10" ht="15.75" customHeight="1" x14ac:dyDescent="0.25">
      <c r="A237">
        <v>1236</v>
      </c>
      <c r="B237">
        <v>57</v>
      </c>
      <c r="C237" t="s">
        <v>4</v>
      </c>
      <c r="D237" t="s">
        <v>8</v>
      </c>
      <c r="E237" t="s">
        <v>9</v>
      </c>
      <c r="F237">
        <v>80244</v>
      </c>
      <c r="G237">
        <v>16</v>
      </c>
      <c r="H237">
        <v>4</v>
      </c>
      <c r="I237" t="s">
        <v>7</v>
      </c>
      <c r="J237" t="str">
        <f t="shared" si="3"/>
        <v>Senior</v>
      </c>
    </row>
    <row r="238" spans="1:10" ht="15.75" customHeight="1" x14ac:dyDescent="0.25">
      <c r="A238">
        <v>1237</v>
      </c>
      <c r="B238">
        <v>39</v>
      </c>
      <c r="C238" t="s">
        <v>4</v>
      </c>
      <c r="D238" t="s">
        <v>18</v>
      </c>
      <c r="E238" t="s">
        <v>19</v>
      </c>
      <c r="F238">
        <v>30388</v>
      </c>
      <c r="G238">
        <v>0</v>
      </c>
      <c r="H238">
        <v>2</v>
      </c>
      <c r="I238" t="s">
        <v>7</v>
      </c>
      <c r="J238" t="str">
        <f t="shared" si="3"/>
        <v>Junior</v>
      </c>
    </row>
    <row r="239" spans="1:10" ht="15.75" customHeight="1" x14ac:dyDescent="0.25">
      <c r="A239">
        <v>1238</v>
      </c>
      <c r="B239">
        <v>32</v>
      </c>
      <c r="C239" t="s">
        <v>4</v>
      </c>
      <c r="D239" t="s">
        <v>8</v>
      </c>
      <c r="E239" t="s">
        <v>13</v>
      </c>
      <c r="F239">
        <v>35633</v>
      </c>
      <c r="G239">
        <v>10</v>
      </c>
      <c r="H239">
        <v>4</v>
      </c>
      <c r="I239" t="s">
        <v>7</v>
      </c>
      <c r="J239" t="str">
        <f t="shared" si="3"/>
        <v>Senior</v>
      </c>
    </row>
    <row r="240" spans="1:10" ht="15.75" customHeight="1" x14ac:dyDescent="0.25">
      <c r="A240">
        <v>1239</v>
      </c>
      <c r="B240">
        <v>38</v>
      </c>
      <c r="C240" t="s">
        <v>4</v>
      </c>
      <c r="D240" t="s">
        <v>5</v>
      </c>
      <c r="E240" t="s">
        <v>6</v>
      </c>
      <c r="F240">
        <v>76707</v>
      </c>
      <c r="G240">
        <v>14</v>
      </c>
      <c r="H240">
        <v>3</v>
      </c>
      <c r="I240" t="s">
        <v>7</v>
      </c>
      <c r="J240" t="str">
        <f t="shared" si="3"/>
        <v>Senior</v>
      </c>
    </row>
    <row r="241" spans="1:10" ht="15.75" customHeight="1" x14ac:dyDescent="0.25">
      <c r="A241">
        <v>1240</v>
      </c>
      <c r="B241">
        <v>54</v>
      </c>
      <c r="C241" t="s">
        <v>10</v>
      </c>
      <c r="D241" t="s">
        <v>11</v>
      </c>
      <c r="E241" t="s">
        <v>14</v>
      </c>
      <c r="F241">
        <v>96943</v>
      </c>
      <c r="G241">
        <v>11</v>
      </c>
      <c r="H241">
        <v>1</v>
      </c>
      <c r="I241" t="s">
        <v>7</v>
      </c>
      <c r="J241" t="str">
        <f t="shared" si="3"/>
        <v>Senior</v>
      </c>
    </row>
    <row r="242" spans="1:10" ht="15.75" customHeight="1" x14ac:dyDescent="0.25">
      <c r="A242">
        <v>1241</v>
      </c>
      <c r="B242">
        <v>37</v>
      </c>
      <c r="C242" t="s">
        <v>4</v>
      </c>
      <c r="D242" t="s">
        <v>11</v>
      </c>
      <c r="E242" t="s">
        <v>12</v>
      </c>
      <c r="F242">
        <v>34210</v>
      </c>
      <c r="G242">
        <v>17</v>
      </c>
      <c r="H242">
        <v>2</v>
      </c>
      <c r="I242" t="s">
        <v>7</v>
      </c>
      <c r="J242" t="str">
        <f t="shared" si="3"/>
        <v>Senior</v>
      </c>
    </row>
    <row r="243" spans="1:10" ht="15.75" customHeight="1" x14ac:dyDescent="0.25">
      <c r="A243">
        <v>1242</v>
      </c>
      <c r="B243">
        <v>22</v>
      </c>
      <c r="C243" t="s">
        <v>10</v>
      </c>
      <c r="D243" t="s">
        <v>18</v>
      </c>
      <c r="E243" t="s">
        <v>23</v>
      </c>
      <c r="F243">
        <v>65007</v>
      </c>
      <c r="G243">
        <v>1</v>
      </c>
      <c r="H243">
        <v>3</v>
      </c>
      <c r="I243" t="s">
        <v>15</v>
      </c>
      <c r="J243" t="str">
        <f t="shared" si="3"/>
        <v>Junior</v>
      </c>
    </row>
    <row r="244" spans="1:10" ht="15.75" customHeight="1" x14ac:dyDescent="0.25">
      <c r="A244">
        <v>1243</v>
      </c>
      <c r="B244">
        <v>27</v>
      </c>
      <c r="C244" t="s">
        <v>4</v>
      </c>
      <c r="D244" t="s">
        <v>8</v>
      </c>
      <c r="E244" t="s">
        <v>9</v>
      </c>
      <c r="F244">
        <v>49905</v>
      </c>
      <c r="G244">
        <v>0</v>
      </c>
      <c r="H244">
        <v>1</v>
      </c>
      <c r="I244" t="s">
        <v>15</v>
      </c>
      <c r="J244" t="str">
        <f t="shared" si="3"/>
        <v>Junior</v>
      </c>
    </row>
    <row r="245" spans="1:10" ht="15.75" customHeight="1" x14ac:dyDescent="0.25">
      <c r="A245">
        <v>1244</v>
      </c>
      <c r="B245">
        <v>35</v>
      </c>
      <c r="C245" t="s">
        <v>10</v>
      </c>
      <c r="D245" t="s">
        <v>5</v>
      </c>
      <c r="E245" t="s">
        <v>20</v>
      </c>
      <c r="F245">
        <v>32443</v>
      </c>
      <c r="G245">
        <v>13</v>
      </c>
      <c r="H245">
        <v>2</v>
      </c>
      <c r="I245" t="s">
        <v>7</v>
      </c>
      <c r="J245" t="str">
        <f t="shared" si="3"/>
        <v>Senior</v>
      </c>
    </row>
    <row r="246" spans="1:10" ht="15.75" customHeight="1" x14ac:dyDescent="0.25">
      <c r="A246">
        <v>1245</v>
      </c>
      <c r="B246">
        <v>47</v>
      </c>
      <c r="C246" t="s">
        <v>4</v>
      </c>
      <c r="D246" t="s">
        <v>16</v>
      </c>
      <c r="E246" t="s">
        <v>25</v>
      </c>
      <c r="F246">
        <v>72195</v>
      </c>
      <c r="G246">
        <v>6</v>
      </c>
      <c r="H246">
        <v>5</v>
      </c>
      <c r="I246" t="s">
        <v>7</v>
      </c>
      <c r="J246" t="str">
        <f t="shared" si="3"/>
        <v>Mid-Level</v>
      </c>
    </row>
    <row r="247" spans="1:10" ht="15.75" customHeight="1" x14ac:dyDescent="0.25">
      <c r="A247">
        <v>1246</v>
      </c>
      <c r="B247">
        <v>54</v>
      </c>
      <c r="C247" t="s">
        <v>10</v>
      </c>
      <c r="D247" t="s">
        <v>21</v>
      </c>
      <c r="E247" t="s">
        <v>24</v>
      </c>
      <c r="F247">
        <v>63535</v>
      </c>
      <c r="G247">
        <v>9</v>
      </c>
      <c r="H247">
        <v>2</v>
      </c>
      <c r="I247" t="s">
        <v>7</v>
      </c>
      <c r="J247" t="str">
        <f t="shared" si="3"/>
        <v>Senior</v>
      </c>
    </row>
    <row r="248" spans="1:10" ht="15.75" customHeight="1" x14ac:dyDescent="0.25">
      <c r="A248">
        <v>1247</v>
      </c>
      <c r="B248">
        <v>54</v>
      </c>
      <c r="C248" t="s">
        <v>10</v>
      </c>
      <c r="D248" t="s">
        <v>16</v>
      </c>
      <c r="E248" t="s">
        <v>25</v>
      </c>
      <c r="F248">
        <v>71890</v>
      </c>
      <c r="G248">
        <v>3</v>
      </c>
      <c r="H248">
        <v>2</v>
      </c>
      <c r="I248" t="s">
        <v>7</v>
      </c>
      <c r="J248" t="str">
        <f t="shared" si="3"/>
        <v>Mid-Level</v>
      </c>
    </row>
    <row r="249" spans="1:10" ht="15.75" customHeight="1" x14ac:dyDescent="0.25">
      <c r="A249">
        <v>1248</v>
      </c>
      <c r="B249">
        <v>26</v>
      </c>
      <c r="C249" t="s">
        <v>4</v>
      </c>
      <c r="D249" t="s">
        <v>8</v>
      </c>
      <c r="E249" t="s">
        <v>9</v>
      </c>
      <c r="F249">
        <v>82590</v>
      </c>
      <c r="G249">
        <v>2</v>
      </c>
      <c r="H249">
        <v>4</v>
      </c>
      <c r="I249" t="s">
        <v>7</v>
      </c>
      <c r="J249" t="str">
        <f t="shared" si="3"/>
        <v>Junior</v>
      </c>
    </row>
    <row r="250" spans="1:10" ht="15.75" customHeight="1" x14ac:dyDescent="0.25">
      <c r="A250">
        <v>1249</v>
      </c>
      <c r="B250">
        <v>48</v>
      </c>
      <c r="C250" t="s">
        <v>10</v>
      </c>
      <c r="D250" t="s">
        <v>16</v>
      </c>
      <c r="E250" t="s">
        <v>17</v>
      </c>
      <c r="F250">
        <v>66871</v>
      </c>
      <c r="G250">
        <v>0</v>
      </c>
      <c r="H250">
        <v>4</v>
      </c>
      <c r="I250" t="s">
        <v>7</v>
      </c>
      <c r="J250" t="str">
        <f t="shared" si="3"/>
        <v>Junior</v>
      </c>
    </row>
    <row r="251" spans="1:10" ht="15.75" customHeight="1" x14ac:dyDescent="0.25">
      <c r="A251">
        <v>1250</v>
      </c>
      <c r="B251">
        <v>43</v>
      </c>
      <c r="C251" t="s">
        <v>4</v>
      </c>
      <c r="D251" t="s">
        <v>18</v>
      </c>
      <c r="E251" t="s">
        <v>23</v>
      </c>
      <c r="F251">
        <v>40303</v>
      </c>
      <c r="G251">
        <v>3</v>
      </c>
      <c r="H251">
        <v>5</v>
      </c>
      <c r="I251" t="s">
        <v>7</v>
      </c>
      <c r="J251" t="str">
        <f t="shared" si="3"/>
        <v>Mid-Level</v>
      </c>
    </row>
    <row r="252" spans="1:10" ht="15.75" customHeight="1" x14ac:dyDescent="0.25">
      <c r="A252">
        <v>1251</v>
      </c>
      <c r="B252">
        <v>58</v>
      </c>
      <c r="C252" t="s">
        <v>4</v>
      </c>
      <c r="D252" t="s">
        <v>11</v>
      </c>
      <c r="E252" t="s">
        <v>12</v>
      </c>
      <c r="F252">
        <v>23676</v>
      </c>
      <c r="G252">
        <v>15</v>
      </c>
      <c r="H252">
        <v>5</v>
      </c>
      <c r="I252" t="s">
        <v>7</v>
      </c>
      <c r="J252" t="str">
        <f t="shared" si="3"/>
        <v>Senior</v>
      </c>
    </row>
    <row r="253" spans="1:10" ht="15.75" customHeight="1" x14ac:dyDescent="0.25">
      <c r="A253">
        <v>1252</v>
      </c>
      <c r="B253">
        <v>26</v>
      </c>
      <c r="C253" t="s">
        <v>4</v>
      </c>
      <c r="D253" t="s">
        <v>21</v>
      </c>
      <c r="E253" t="s">
        <v>24</v>
      </c>
      <c r="F253">
        <v>25591</v>
      </c>
      <c r="G253">
        <v>6</v>
      </c>
      <c r="H253">
        <v>3</v>
      </c>
      <c r="I253" t="s">
        <v>7</v>
      </c>
      <c r="J253" t="str">
        <f t="shared" si="3"/>
        <v>Mid-Level</v>
      </c>
    </row>
    <row r="254" spans="1:10" ht="15.75" customHeight="1" x14ac:dyDescent="0.25">
      <c r="A254">
        <v>1253</v>
      </c>
      <c r="B254">
        <v>36</v>
      </c>
      <c r="C254" t="s">
        <v>4</v>
      </c>
      <c r="D254" t="s">
        <v>21</v>
      </c>
      <c r="E254" t="s">
        <v>24</v>
      </c>
      <c r="F254">
        <v>109950</v>
      </c>
      <c r="G254">
        <v>13</v>
      </c>
      <c r="H254">
        <v>2</v>
      </c>
      <c r="I254" t="s">
        <v>15</v>
      </c>
      <c r="J254" t="str">
        <f t="shared" si="3"/>
        <v>Senior</v>
      </c>
    </row>
    <row r="255" spans="1:10" ht="15.75" customHeight="1" x14ac:dyDescent="0.25">
      <c r="A255">
        <v>1254</v>
      </c>
      <c r="B255">
        <v>34</v>
      </c>
      <c r="C255" t="s">
        <v>4</v>
      </c>
      <c r="D255" t="s">
        <v>11</v>
      </c>
      <c r="E255" t="s">
        <v>12</v>
      </c>
      <c r="F255">
        <v>118830</v>
      </c>
      <c r="G255">
        <v>10</v>
      </c>
      <c r="H255">
        <v>5</v>
      </c>
      <c r="I255" t="s">
        <v>7</v>
      </c>
      <c r="J255" t="str">
        <f t="shared" si="3"/>
        <v>Senior</v>
      </c>
    </row>
    <row r="256" spans="1:10" ht="15.75" customHeight="1" x14ac:dyDescent="0.25">
      <c r="A256">
        <v>1255</v>
      </c>
      <c r="B256">
        <v>57</v>
      </c>
      <c r="C256" t="s">
        <v>4</v>
      </c>
      <c r="D256" t="s">
        <v>5</v>
      </c>
      <c r="E256" t="s">
        <v>20</v>
      </c>
      <c r="F256">
        <v>79391</v>
      </c>
      <c r="G256">
        <v>18</v>
      </c>
      <c r="H256">
        <v>2</v>
      </c>
      <c r="I256" t="s">
        <v>7</v>
      </c>
      <c r="J256" t="str">
        <f t="shared" si="3"/>
        <v>Senior</v>
      </c>
    </row>
    <row r="257" spans="1:10" ht="15.75" customHeight="1" x14ac:dyDescent="0.25">
      <c r="A257">
        <v>1256</v>
      </c>
      <c r="B257">
        <v>51</v>
      </c>
      <c r="C257" t="s">
        <v>4</v>
      </c>
      <c r="D257" t="s">
        <v>21</v>
      </c>
      <c r="E257" t="s">
        <v>24</v>
      </c>
      <c r="F257">
        <v>100333</v>
      </c>
      <c r="G257">
        <v>5</v>
      </c>
      <c r="H257">
        <v>2</v>
      </c>
      <c r="I257" t="s">
        <v>7</v>
      </c>
      <c r="J257" t="str">
        <f t="shared" si="3"/>
        <v>Mid-Level</v>
      </c>
    </row>
    <row r="258" spans="1:10" ht="15.75" customHeight="1" x14ac:dyDescent="0.25">
      <c r="A258">
        <v>1257</v>
      </c>
      <c r="B258">
        <v>24</v>
      </c>
      <c r="C258" t="s">
        <v>10</v>
      </c>
      <c r="D258" t="s">
        <v>16</v>
      </c>
      <c r="E258" t="s">
        <v>25</v>
      </c>
      <c r="F258">
        <v>46964</v>
      </c>
      <c r="G258">
        <v>13</v>
      </c>
      <c r="H258">
        <v>5</v>
      </c>
      <c r="I258" t="s">
        <v>7</v>
      </c>
      <c r="J258" t="str">
        <f t="shared" ref="J258:J321" si="4">IF(G258&lt;3,"Junior",IF(G258&lt;7,"Mid-Level","Senior"))</f>
        <v>Senior</v>
      </c>
    </row>
    <row r="259" spans="1:10" ht="15.75" customHeight="1" x14ac:dyDescent="0.25">
      <c r="A259">
        <v>1258</v>
      </c>
      <c r="B259">
        <v>48</v>
      </c>
      <c r="C259" t="s">
        <v>10</v>
      </c>
      <c r="D259" t="s">
        <v>21</v>
      </c>
      <c r="E259" t="s">
        <v>24</v>
      </c>
      <c r="F259">
        <v>97947</v>
      </c>
      <c r="G259">
        <v>1</v>
      </c>
      <c r="H259">
        <v>3</v>
      </c>
      <c r="I259" t="s">
        <v>7</v>
      </c>
      <c r="J259" t="str">
        <f t="shared" si="4"/>
        <v>Junior</v>
      </c>
    </row>
    <row r="260" spans="1:10" ht="15.75" customHeight="1" x14ac:dyDescent="0.25">
      <c r="A260">
        <v>1259</v>
      </c>
      <c r="B260">
        <v>52</v>
      </c>
      <c r="C260" t="s">
        <v>4</v>
      </c>
      <c r="D260" t="s">
        <v>11</v>
      </c>
      <c r="E260" t="s">
        <v>14</v>
      </c>
      <c r="F260">
        <v>98498</v>
      </c>
      <c r="G260">
        <v>4</v>
      </c>
      <c r="H260">
        <v>5</v>
      </c>
      <c r="I260" t="s">
        <v>7</v>
      </c>
      <c r="J260" t="str">
        <f t="shared" si="4"/>
        <v>Mid-Level</v>
      </c>
    </row>
    <row r="261" spans="1:10" ht="15.75" customHeight="1" x14ac:dyDescent="0.25">
      <c r="A261">
        <v>1260</v>
      </c>
      <c r="B261">
        <v>55</v>
      </c>
      <c r="C261" t="s">
        <v>10</v>
      </c>
      <c r="D261" t="s">
        <v>21</v>
      </c>
      <c r="E261" t="s">
        <v>24</v>
      </c>
      <c r="F261">
        <v>74413</v>
      </c>
      <c r="G261">
        <v>8</v>
      </c>
      <c r="H261">
        <v>1</v>
      </c>
      <c r="I261" t="s">
        <v>7</v>
      </c>
      <c r="J261" t="str">
        <f t="shared" si="4"/>
        <v>Senior</v>
      </c>
    </row>
    <row r="262" spans="1:10" ht="15.75" customHeight="1" x14ac:dyDescent="0.25">
      <c r="A262">
        <v>1261</v>
      </c>
      <c r="B262">
        <v>50</v>
      </c>
      <c r="C262" t="s">
        <v>10</v>
      </c>
      <c r="D262" t="s">
        <v>18</v>
      </c>
      <c r="E262" t="s">
        <v>23</v>
      </c>
      <c r="F262">
        <v>73885</v>
      </c>
      <c r="G262">
        <v>10</v>
      </c>
      <c r="H262">
        <v>5</v>
      </c>
      <c r="I262" t="s">
        <v>7</v>
      </c>
      <c r="J262" t="str">
        <f t="shared" si="4"/>
        <v>Senior</v>
      </c>
    </row>
    <row r="263" spans="1:10" ht="15.75" customHeight="1" x14ac:dyDescent="0.25">
      <c r="A263">
        <v>1262</v>
      </c>
      <c r="B263">
        <v>45</v>
      </c>
      <c r="C263" t="s">
        <v>4</v>
      </c>
      <c r="D263" t="s">
        <v>5</v>
      </c>
      <c r="E263" t="s">
        <v>20</v>
      </c>
      <c r="F263">
        <v>116359</v>
      </c>
      <c r="G263">
        <v>17</v>
      </c>
      <c r="H263">
        <v>2</v>
      </c>
      <c r="I263" t="s">
        <v>7</v>
      </c>
      <c r="J263" t="str">
        <f t="shared" si="4"/>
        <v>Senior</v>
      </c>
    </row>
    <row r="264" spans="1:10" ht="15.75" customHeight="1" x14ac:dyDescent="0.25">
      <c r="A264">
        <v>1263</v>
      </c>
      <c r="B264">
        <v>55</v>
      </c>
      <c r="C264" t="s">
        <v>10</v>
      </c>
      <c r="D264" t="s">
        <v>11</v>
      </c>
      <c r="E264" t="s">
        <v>12</v>
      </c>
      <c r="F264">
        <v>93164</v>
      </c>
      <c r="G264">
        <v>11</v>
      </c>
      <c r="H264">
        <v>4</v>
      </c>
      <c r="I264" t="s">
        <v>7</v>
      </c>
      <c r="J264" t="str">
        <f t="shared" si="4"/>
        <v>Senior</v>
      </c>
    </row>
    <row r="265" spans="1:10" ht="15.75" customHeight="1" x14ac:dyDescent="0.25">
      <c r="A265">
        <v>1264</v>
      </c>
      <c r="B265">
        <v>39</v>
      </c>
      <c r="C265" t="s">
        <v>4</v>
      </c>
      <c r="D265" t="s">
        <v>8</v>
      </c>
      <c r="E265" t="s">
        <v>13</v>
      </c>
      <c r="F265">
        <v>107754</v>
      </c>
      <c r="G265">
        <v>6</v>
      </c>
      <c r="H265">
        <v>3</v>
      </c>
      <c r="I265" t="s">
        <v>7</v>
      </c>
      <c r="J265" t="str">
        <f t="shared" si="4"/>
        <v>Mid-Level</v>
      </c>
    </row>
    <row r="266" spans="1:10" ht="15.75" customHeight="1" x14ac:dyDescent="0.25">
      <c r="A266">
        <v>1265</v>
      </c>
      <c r="B266">
        <v>55</v>
      </c>
      <c r="C266" t="s">
        <v>4</v>
      </c>
      <c r="D266" t="s">
        <v>21</v>
      </c>
      <c r="E266" t="s">
        <v>22</v>
      </c>
      <c r="F266">
        <v>55495</v>
      </c>
      <c r="G266">
        <v>6</v>
      </c>
      <c r="H266">
        <v>3</v>
      </c>
      <c r="I266" t="s">
        <v>7</v>
      </c>
      <c r="J266" t="str">
        <f t="shared" si="4"/>
        <v>Mid-Level</v>
      </c>
    </row>
    <row r="267" spans="1:10" ht="15.75" customHeight="1" x14ac:dyDescent="0.25">
      <c r="A267">
        <v>1266</v>
      </c>
      <c r="B267">
        <v>50</v>
      </c>
      <c r="C267" t="s">
        <v>10</v>
      </c>
      <c r="D267" t="s">
        <v>11</v>
      </c>
      <c r="E267" t="s">
        <v>12</v>
      </c>
      <c r="F267">
        <v>74243</v>
      </c>
      <c r="G267">
        <v>0</v>
      </c>
      <c r="H267">
        <v>3</v>
      </c>
      <c r="I267" t="s">
        <v>7</v>
      </c>
      <c r="J267" t="str">
        <f t="shared" si="4"/>
        <v>Junior</v>
      </c>
    </row>
    <row r="268" spans="1:10" ht="15.75" customHeight="1" x14ac:dyDescent="0.25">
      <c r="A268">
        <v>1267</v>
      </c>
      <c r="B268">
        <v>38</v>
      </c>
      <c r="C268" t="s">
        <v>4</v>
      </c>
      <c r="D268" t="s">
        <v>5</v>
      </c>
      <c r="E268" t="s">
        <v>6</v>
      </c>
      <c r="F268">
        <v>109797</v>
      </c>
      <c r="G268">
        <v>11</v>
      </c>
      <c r="H268">
        <v>3</v>
      </c>
      <c r="I268" t="s">
        <v>7</v>
      </c>
      <c r="J268" t="str">
        <f t="shared" si="4"/>
        <v>Senior</v>
      </c>
    </row>
    <row r="269" spans="1:10" ht="15.75" customHeight="1" x14ac:dyDescent="0.25">
      <c r="A269">
        <v>1268</v>
      </c>
      <c r="B269">
        <v>45</v>
      </c>
      <c r="C269" t="s">
        <v>10</v>
      </c>
      <c r="D269" t="s">
        <v>21</v>
      </c>
      <c r="E269" t="s">
        <v>24</v>
      </c>
      <c r="F269">
        <v>44493</v>
      </c>
      <c r="G269">
        <v>18</v>
      </c>
      <c r="H269">
        <v>3</v>
      </c>
      <c r="I269" t="s">
        <v>7</v>
      </c>
      <c r="J269" t="str">
        <f t="shared" si="4"/>
        <v>Senior</v>
      </c>
    </row>
    <row r="270" spans="1:10" ht="15.75" customHeight="1" x14ac:dyDescent="0.25">
      <c r="A270">
        <v>1269</v>
      </c>
      <c r="B270">
        <v>48</v>
      </c>
      <c r="C270" t="s">
        <v>10</v>
      </c>
      <c r="D270" t="s">
        <v>21</v>
      </c>
      <c r="E270" t="s">
        <v>24</v>
      </c>
      <c r="F270">
        <v>23749</v>
      </c>
      <c r="G270">
        <v>18</v>
      </c>
      <c r="H270">
        <v>3</v>
      </c>
      <c r="I270" t="s">
        <v>7</v>
      </c>
      <c r="J270" t="str">
        <f t="shared" si="4"/>
        <v>Senior</v>
      </c>
    </row>
    <row r="271" spans="1:10" ht="15.75" customHeight="1" x14ac:dyDescent="0.25">
      <c r="A271">
        <v>1270</v>
      </c>
      <c r="B271">
        <v>36</v>
      </c>
      <c r="C271" t="s">
        <v>10</v>
      </c>
      <c r="D271" t="s">
        <v>21</v>
      </c>
      <c r="E271" t="s">
        <v>24</v>
      </c>
      <c r="F271">
        <v>65565</v>
      </c>
      <c r="G271">
        <v>2</v>
      </c>
      <c r="H271">
        <v>2</v>
      </c>
      <c r="I271" t="s">
        <v>7</v>
      </c>
      <c r="J271" t="str">
        <f t="shared" si="4"/>
        <v>Junior</v>
      </c>
    </row>
    <row r="272" spans="1:10" ht="15.75" customHeight="1" x14ac:dyDescent="0.25">
      <c r="A272">
        <v>1271</v>
      </c>
      <c r="B272">
        <v>58</v>
      </c>
      <c r="C272" t="s">
        <v>4</v>
      </c>
      <c r="D272" t="s">
        <v>11</v>
      </c>
      <c r="E272" t="s">
        <v>12</v>
      </c>
      <c r="F272">
        <v>117151</v>
      </c>
      <c r="G272">
        <v>7</v>
      </c>
      <c r="H272">
        <v>1</v>
      </c>
      <c r="I272" t="s">
        <v>7</v>
      </c>
      <c r="J272" t="str">
        <f t="shared" si="4"/>
        <v>Senior</v>
      </c>
    </row>
    <row r="273" spans="1:10" ht="15.75" customHeight="1" x14ac:dyDescent="0.25">
      <c r="A273">
        <v>1272</v>
      </c>
      <c r="B273">
        <v>27</v>
      </c>
      <c r="C273" t="s">
        <v>4</v>
      </c>
      <c r="D273" t="s">
        <v>21</v>
      </c>
      <c r="E273" t="s">
        <v>24</v>
      </c>
      <c r="F273">
        <v>47866</v>
      </c>
      <c r="G273">
        <v>20</v>
      </c>
      <c r="H273">
        <v>5</v>
      </c>
      <c r="I273" t="s">
        <v>7</v>
      </c>
      <c r="J273" t="str">
        <f t="shared" si="4"/>
        <v>Senior</v>
      </c>
    </row>
    <row r="274" spans="1:10" ht="15.75" customHeight="1" x14ac:dyDescent="0.25">
      <c r="A274">
        <v>1273</v>
      </c>
      <c r="B274">
        <v>40</v>
      </c>
      <c r="C274" t="s">
        <v>4</v>
      </c>
      <c r="D274" t="s">
        <v>5</v>
      </c>
      <c r="E274" t="s">
        <v>26</v>
      </c>
      <c r="F274">
        <v>75482</v>
      </c>
      <c r="G274">
        <v>20</v>
      </c>
      <c r="H274">
        <v>5</v>
      </c>
      <c r="I274" t="s">
        <v>7</v>
      </c>
      <c r="J274" t="str">
        <f t="shared" si="4"/>
        <v>Senior</v>
      </c>
    </row>
    <row r="275" spans="1:10" ht="15.75" customHeight="1" x14ac:dyDescent="0.25">
      <c r="A275">
        <v>1274</v>
      </c>
      <c r="B275">
        <v>58</v>
      </c>
      <c r="C275" t="s">
        <v>10</v>
      </c>
      <c r="D275" t="s">
        <v>5</v>
      </c>
      <c r="E275" t="s">
        <v>20</v>
      </c>
      <c r="F275">
        <v>106075</v>
      </c>
      <c r="G275">
        <v>13</v>
      </c>
      <c r="H275">
        <v>2</v>
      </c>
      <c r="I275" t="s">
        <v>15</v>
      </c>
      <c r="J275" t="str">
        <f t="shared" si="4"/>
        <v>Senior</v>
      </c>
    </row>
    <row r="276" spans="1:10" ht="15.75" customHeight="1" x14ac:dyDescent="0.25">
      <c r="A276">
        <v>1275</v>
      </c>
      <c r="B276">
        <v>34</v>
      </c>
      <c r="C276" t="s">
        <v>10</v>
      </c>
      <c r="D276" t="s">
        <v>11</v>
      </c>
      <c r="E276" t="s">
        <v>14</v>
      </c>
      <c r="F276">
        <v>22819</v>
      </c>
      <c r="G276">
        <v>18</v>
      </c>
      <c r="H276">
        <v>4</v>
      </c>
      <c r="I276" t="s">
        <v>7</v>
      </c>
      <c r="J276" t="str">
        <f t="shared" si="4"/>
        <v>Senior</v>
      </c>
    </row>
    <row r="277" spans="1:10" ht="15.75" customHeight="1" x14ac:dyDescent="0.25">
      <c r="A277">
        <v>1276</v>
      </c>
      <c r="B277">
        <v>41</v>
      </c>
      <c r="C277" t="s">
        <v>4</v>
      </c>
      <c r="D277" t="s">
        <v>16</v>
      </c>
      <c r="E277" t="s">
        <v>17</v>
      </c>
      <c r="F277">
        <v>94244</v>
      </c>
      <c r="G277">
        <v>0</v>
      </c>
      <c r="H277">
        <v>5</v>
      </c>
      <c r="I277" t="s">
        <v>7</v>
      </c>
      <c r="J277" t="str">
        <f t="shared" si="4"/>
        <v>Junior</v>
      </c>
    </row>
    <row r="278" spans="1:10" ht="15.75" customHeight="1" x14ac:dyDescent="0.25">
      <c r="A278">
        <v>1277</v>
      </c>
      <c r="B278">
        <v>23</v>
      </c>
      <c r="C278" t="s">
        <v>4</v>
      </c>
      <c r="D278" t="s">
        <v>16</v>
      </c>
      <c r="E278" t="s">
        <v>17</v>
      </c>
      <c r="F278">
        <v>95295</v>
      </c>
      <c r="G278">
        <v>3</v>
      </c>
      <c r="H278">
        <v>5</v>
      </c>
      <c r="I278" t="s">
        <v>7</v>
      </c>
      <c r="J278" t="str">
        <f t="shared" si="4"/>
        <v>Mid-Level</v>
      </c>
    </row>
    <row r="279" spans="1:10" ht="15.75" customHeight="1" x14ac:dyDescent="0.25">
      <c r="A279">
        <v>1278</v>
      </c>
      <c r="B279">
        <v>43</v>
      </c>
      <c r="C279" t="s">
        <v>10</v>
      </c>
      <c r="D279" t="s">
        <v>21</v>
      </c>
      <c r="E279" t="s">
        <v>24</v>
      </c>
      <c r="F279">
        <v>95418</v>
      </c>
      <c r="G279">
        <v>17</v>
      </c>
      <c r="H279">
        <v>5</v>
      </c>
      <c r="I279" t="s">
        <v>7</v>
      </c>
      <c r="J279" t="str">
        <f t="shared" si="4"/>
        <v>Senior</v>
      </c>
    </row>
    <row r="280" spans="1:10" ht="15.75" customHeight="1" x14ac:dyDescent="0.25">
      <c r="A280">
        <v>1279</v>
      </c>
      <c r="B280">
        <v>43</v>
      </c>
      <c r="C280" t="s">
        <v>4</v>
      </c>
      <c r="D280" t="s">
        <v>18</v>
      </c>
      <c r="E280" t="s">
        <v>23</v>
      </c>
      <c r="F280">
        <v>42505</v>
      </c>
      <c r="G280">
        <v>2</v>
      </c>
      <c r="H280">
        <v>5</v>
      </c>
      <c r="I280" t="s">
        <v>7</v>
      </c>
      <c r="J280" t="str">
        <f t="shared" si="4"/>
        <v>Junior</v>
      </c>
    </row>
    <row r="281" spans="1:10" ht="15.75" customHeight="1" x14ac:dyDescent="0.25">
      <c r="A281">
        <v>1280</v>
      </c>
      <c r="B281">
        <v>55</v>
      </c>
      <c r="C281" t="s">
        <v>4</v>
      </c>
      <c r="D281" t="s">
        <v>16</v>
      </c>
      <c r="E281" t="s">
        <v>17</v>
      </c>
      <c r="F281">
        <v>24117</v>
      </c>
      <c r="G281">
        <v>2</v>
      </c>
      <c r="H281">
        <v>5</v>
      </c>
      <c r="I281" t="s">
        <v>15</v>
      </c>
      <c r="J281" t="str">
        <f t="shared" si="4"/>
        <v>Junior</v>
      </c>
    </row>
    <row r="282" spans="1:10" ht="15.75" customHeight="1" x14ac:dyDescent="0.25">
      <c r="A282">
        <v>1281</v>
      </c>
      <c r="B282">
        <v>30</v>
      </c>
      <c r="C282" t="s">
        <v>10</v>
      </c>
      <c r="D282" t="s">
        <v>11</v>
      </c>
      <c r="E282" t="s">
        <v>14</v>
      </c>
      <c r="F282">
        <v>82662</v>
      </c>
      <c r="G282">
        <v>2</v>
      </c>
      <c r="H282">
        <v>1</v>
      </c>
      <c r="I282" t="s">
        <v>7</v>
      </c>
      <c r="J282" t="str">
        <f t="shared" si="4"/>
        <v>Junior</v>
      </c>
    </row>
    <row r="283" spans="1:10" ht="15.75" customHeight="1" x14ac:dyDescent="0.25">
      <c r="A283">
        <v>1282</v>
      </c>
      <c r="B283">
        <v>23</v>
      </c>
      <c r="C283" t="s">
        <v>10</v>
      </c>
      <c r="D283" t="s">
        <v>18</v>
      </c>
      <c r="E283" t="s">
        <v>19</v>
      </c>
      <c r="F283">
        <v>111827</v>
      </c>
      <c r="G283">
        <v>17</v>
      </c>
      <c r="H283">
        <v>5</v>
      </c>
      <c r="I283" t="s">
        <v>15</v>
      </c>
      <c r="J283" t="str">
        <f t="shared" si="4"/>
        <v>Senior</v>
      </c>
    </row>
    <row r="284" spans="1:10" ht="15.75" customHeight="1" x14ac:dyDescent="0.25">
      <c r="A284">
        <v>1283</v>
      </c>
      <c r="B284">
        <v>29</v>
      </c>
      <c r="C284" t="s">
        <v>10</v>
      </c>
      <c r="D284" t="s">
        <v>18</v>
      </c>
      <c r="E284" t="s">
        <v>19</v>
      </c>
      <c r="F284">
        <v>31877</v>
      </c>
      <c r="G284">
        <v>1</v>
      </c>
      <c r="H284">
        <v>2</v>
      </c>
      <c r="I284" t="s">
        <v>7</v>
      </c>
      <c r="J284" t="str">
        <f t="shared" si="4"/>
        <v>Junior</v>
      </c>
    </row>
    <row r="285" spans="1:10" ht="15.75" customHeight="1" x14ac:dyDescent="0.25">
      <c r="A285">
        <v>1284</v>
      </c>
      <c r="B285">
        <v>39</v>
      </c>
      <c r="C285" t="s">
        <v>4</v>
      </c>
      <c r="D285" t="s">
        <v>21</v>
      </c>
      <c r="E285" t="s">
        <v>22</v>
      </c>
      <c r="F285">
        <v>96913</v>
      </c>
      <c r="G285">
        <v>4</v>
      </c>
      <c r="H285">
        <v>5</v>
      </c>
      <c r="I285" t="s">
        <v>7</v>
      </c>
      <c r="J285" t="str">
        <f t="shared" si="4"/>
        <v>Mid-Level</v>
      </c>
    </row>
    <row r="286" spans="1:10" ht="15.75" customHeight="1" x14ac:dyDescent="0.25">
      <c r="A286">
        <v>1285</v>
      </c>
      <c r="B286">
        <v>34</v>
      </c>
      <c r="C286" t="s">
        <v>10</v>
      </c>
      <c r="D286" t="s">
        <v>8</v>
      </c>
      <c r="E286" t="s">
        <v>13</v>
      </c>
      <c r="F286">
        <v>45619</v>
      </c>
      <c r="G286">
        <v>14</v>
      </c>
      <c r="H286">
        <v>4</v>
      </c>
      <c r="I286" t="s">
        <v>7</v>
      </c>
      <c r="J286" t="str">
        <f t="shared" si="4"/>
        <v>Senior</v>
      </c>
    </row>
    <row r="287" spans="1:10" ht="15.75" customHeight="1" x14ac:dyDescent="0.25">
      <c r="A287">
        <v>1286</v>
      </c>
      <c r="B287">
        <v>37</v>
      </c>
      <c r="C287" t="s">
        <v>4</v>
      </c>
      <c r="D287" t="s">
        <v>11</v>
      </c>
      <c r="E287" t="s">
        <v>14</v>
      </c>
      <c r="F287">
        <v>97087</v>
      </c>
      <c r="G287">
        <v>3</v>
      </c>
      <c r="H287">
        <v>2</v>
      </c>
      <c r="I287" t="s">
        <v>7</v>
      </c>
      <c r="J287" t="str">
        <f t="shared" si="4"/>
        <v>Mid-Level</v>
      </c>
    </row>
    <row r="288" spans="1:10" ht="15.75" customHeight="1" x14ac:dyDescent="0.25">
      <c r="A288">
        <v>1287</v>
      </c>
      <c r="B288">
        <v>48</v>
      </c>
      <c r="C288" t="s">
        <v>10</v>
      </c>
      <c r="D288" t="s">
        <v>11</v>
      </c>
      <c r="E288" t="s">
        <v>14</v>
      </c>
      <c r="F288">
        <v>50837</v>
      </c>
      <c r="G288">
        <v>8</v>
      </c>
      <c r="H288">
        <v>1</v>
      </c>
      <c r="I288" t="s">
        <v>7</v>
      </c>
      <c r="J288" t="str">
        <f t="shared" si="4"/>
        <v>Senior</v>
      </c>
    </row>
    <row r="289" spans="1:10" ht="15.75" customHeight="1" x14ac:dyDescent="0.25">
      <c r="A289">
        <v>1288</v>
      </c>
      <c r="B289">
        <v>46</v>
      </c>
      <c r="C289" t="s">
        <v>4</v>
      </c>
      <c r="D289" t="s">
        <v>21</v>
      </c>
      <c r="E289" t="s">
        <v>22</v>
      </c>
      <c r="F289">
        <v>91856</v>
      </c>
      <c r="G289">
        <v>13</v>
      </c>
      <c r="H289">
        <v>4</v>
      </c>
      <c r="I289" t="s">
        <v>7</v>
      </c>
      <c r="J289" t="str">
        <f t="shared" si="4"/>
        <v>Senior</v>
      </c>
    </row>
    <row r="290" spans="1:10" ht="15.75" customHeight="1" x14ac:dyDescent="0.25">
      <c r="A290">
        <v>1289</v>
      </c>
      <c r="B290">
        <v>41</v>
      </c>
      <c r="C290" t="s">
        <v>10</v>
      </c>
      <c r="D290" t="s">
        <v>16</v>
      </c>
      <c r="E290" t="s">
        <v>17</v>
      </c>
      <c r="F290">
        <v>71250</v>
      </c>
      <c r="G290">
        <v>7</v>
      </c>
      <c r="H290">
        <v>1</v>
      </c>
      <c r="I290" t="s">
        <v>7</v>
      </c>
      <c r="J290" t="str">
        <f t="shared" si="4"/>
        <v>Senior</v>
      </c>
    </row>
    <row r="291" spans="1:10" ht="15.75" customHeight="1" x14ac:dyDescent="0.25">
      <c r="A291">
        <v>1290</v>
      </c>
      <c r="B291">
        <v>47</v>
      </c>
      <c r="C291" t="s">
        <v>10</v>
      </c>
      <c r="D291" t="s">
        <v>8</v>
      </c>
      <c r="E291" t="s">
        <v>13</v>
      </c>
      <c r="F291">
        <v>107159</v>
      </c>
      <c r="G291">
        <v>1</v>
      </c>
      <c r="H291">
        <v>2</v>
      </c>
      <c r="I291" t="s">
        <v>15</v>
      </c>
      <c r="J291" t="str">
        <f t="shared" si="4"/>
        <v>Junior</v>
      </c>
    </row>
    <row r="292" spans="1:10" ht="15.75" customHeight="1" x14ac:dyDescent="0.25">
      <c r="A292">
        <v>1291</v>
      </c>
      <c r="B292">
        <v>47</v>
      </c>
      <c r="C292" t="s">
        <v>4</v>
      </c>
      <c r="D292" t="s">
        <v>21</v>
      </c>
      <c r="E292" t="s">
        <v>24</v>
      </c>
      <c r="F292">
        <v>115999</v>
      </c>
      <c r="G292">
        <v>16</v>
      </c>
      <c r="H292">
        <v>4</v>
      </c>
      <c r="I292" t="s">
        <v>7</v>
      </c>
      <c r="J292" t="str">
        <f t="shared" si="4"/>
        <v>Senior</v>
      </c>
    </row>
    <row r="293" spans="1:10" ht="15.75" customHeight="1" x14ac:dyDescent="0.25">
      <c r="A293">
        <v>1292</v>
      </c>
      <c r="B293">
        <v>58</v>
      </c>
      <c r="C293" t="s">
        <v>10</v>
      </c>
      <c r="D293" t="s">
        <v>11</v>
      </c>
      <c r="E293" t="s">
        <v>14</v>
      </c>
      <c r="F293">
        <v>39189</v>
      </c>
      <c r="G293">
        <v>14</v>
      </c>
      <c r="H293">
        <v>1</v>
      </c>
      <c r="I293" t="s">
        <v>7</v>
      </c>
      <c r="J293" t="str">
        <f t="shared" si="4"/>
        <v>Senior</v>
      </c>
    </row>
    <row r="294" spans="1:10" ht="15.75" customHeight="1" x14ac:dyDescent="0.25">
      <c r="A294">
        <v>1293</v>
      </c>
      <c r="B294">
        <v>30</v>
      </c>
      <c r="C294" t="s">
        <v>4</v>
      </c>
      <c r="D294" t="s">
        <v>8</v>
      </c>
      <c r="E294" t="s">
        <v>13</v>
      </c>
      <c r="F294">
        <v>33525</v>
      </c>
      <c r="G294">
        <v>6</v>
      </c>
      <c r="H294">
        <v>4</v>
      </c>
      <c r="I294" t="s">
        <v>7</v>
      </c>
      <c r="J294" t="str">
        <f t="shared" si="4"/>
        <v>Mid-Level</v>
      </c>
    </row>
    <row r="295" spans="1:10" ht="15.75" customHeight="1" x14ac:dyDescent="0.25">
      <c r="A295">
        <v>1294</v>
      </c>
      <c r="B295">
        <v>23</v>
      </c>
      <c r="C295" t="s">
        <v>10</v>
      </c>
      <c r="D295" t="s">
        <v>11</v>
      </c>
      <c r="E295" t="s">
        <v>12</v>
      </c>
      <c r="F295">
        <v>63788</v>
      </c>
      <c r="G295">
        <v>13</v>
      </c>
      <c r="H295">
        <v>4</v>
      </c>
      <c r="I295" t="s">
        <v>7</v>
      </c>
      <c r="J295" t="str">
        <f t="shared" si="4"/>
        <v>Senior</v>
      </c>
    </row>
    <row r="296" spans="1:10" ht="15.75" customHeight="1" x14ac:dyDescent="0.25">
      <c r="A296">
        <v>1295</v>
      </c>
      <c r="B296">
        <v>44</v>
      </c>
      <c r="C296" t="s">
        <v>4</v>
      </c>
      <c r="D296" t="s">
        <v>18</v>
      </c>
      <c r="E296" t="s">
        <v>23</v>
      </c>
      <c r="F296">
        <v>94573</v>
      </c>
      <c r="G296">
        <v>3</v>
      </c>
      <c r="H296">
        <v>1</v>
      </c>
      <c r="I296" t="s">
        <v>7</v>
      </c>
      <c r="J296" t="str">
        <f t="shared" si="4"/>
        <v>Mid-Level</v>
      </c>
    </row>
    <row r="297" spans="1:10" ht="15.75" customHeight="1" x14ac:dyDescent="0.25">
      <c r="A297">
        <v>1296</v>
      </c>
      <c r="B297">
        <v>45</v>
      </c>
      <c r="C297" t="s">
        <v>10</v>
      </c>
      <c r="D297" t="s">
        <v>8</v>
      </c>
      <c r="E297" t="s">
        <v>13</v>
      </c>
      <c r="F297">
        <v>97905</v>
      </c>
      <c r="G297">
        <v>10</v>
      </c>
      <c r="H297">
        <v>1</v>
      </c>
      <c r="I297" t="s">
        <v>7</v>
      </c>
      <c r="J297" t="str">
        <f t="shared" si="4"/>
        <v>Senior</v>
      </c>
    </row>
    <row r="298" spans="1:10" ht="15.75" customHeight="1" x14ac:dyDescent="0.25">
      <c r="A298">
        <v>1297</v>
      </c>
      <c r="B298">
        <v>38</v>
      </c>
      <c r="C298" t="s">
        <v>10</v>
      </c>
      <c r="D298" t="s">
        <v>8</v>
      </c>
      <c r="E298" t="s">
        <v>13</v>
      </c>
      <c r="F298">
        <v>102180</v>
      </c>
      <c r="G298">
        <v>10</v>
      </c>
      <c r="H298">
        <v>2</v>
      </c>
      <c r="I298" t="s">
        <v>7</v>
      </c>
      <c r="J298" t="str">
        <f t="shared" si="4"/>
        <v>Senior</v>
      </c>
    </row>
    <row r="299" spans="1:10" ht="15.75" customHeight="1" x14ac:dyDescent="0.25">
      <c r="A299">
        <v>1298</v>
      </c>
      <c r="B299">
        <v>48</v>
      </c>
      <c r="C299" t="s">
        <v>4</v>
      </c>
      <c r="D299" t="s">
        <v>16</v>
      </c>
      <c r="E299" t="s">
        <v>25</v>
      </c>
      <c r="F299">
        <v>60357</v>
      </c>
      <c r="G299">
        <v>15</v>
      </c>
      <c r="H299">
        <v>5</v>
      </c>
      <c r="I299" t="s">
        <v>7</v>
      </c>
      <c r="J299" t="str">
        <f t="shared" si="4"/>
        <v>Senior</v>
      </c>
    </row>
    <row r="300" spans="1:10" ht="15.75" customHeight="1" x14ac:dyDescent="0.25">
      <c r="A300">
        <v>1299</v>
      </c>
      <c r="B300">
        <v>45</v>
      </c>
      <c r="C300" t="s">
        <v>4</v>
      </c>
      <c r="D300" t="s">
        <v>8</v>
      </c>
      <c r="E300" t="s">
        <v>9</v>
      </c>
      <c r="F300">
        <v>68531</v>
      </c>
      <c r="G300">
        <v>14</v>
      </c>
      <c r="H300">
        <v>2</v>
      </c>
      <c r="I300" t="s">
        <v>15</v>
      </c>
      <c r="J300" t="str">
        <f t="shared" si="4"/>
        <v>Senior</v>
      </c>
    </row>
    <row r="301" spans="1:10" ht="15.75" customHeight="1" x14ac:dyDescent="0.25">
      <c r="A301">
        <v>1300</v>
      </c>
      <c r="B301">
        <v>33</v>
      </c>
      <c r="C301" t="s">
        <v>10</v>
      </c>
      <c r="D301" t="s">
        <v>8</v>
      </c>
      <c r="E301" t="s">
        <v>9</v>
      </c>
      <c r="F301">
        <v>46097</v>
      </c>
      <c r="G301">
        <v>15</v>
      </c>
      <c r="H301">
        <v>1</v>
      </c>
      <c r="I301" t="s">
        <v>7</v>
      </c>
      <c r="J301" t="str">
        <f t="shared" si="4"/>
        <v>Senior</v>
      </c>
    </row>
    <row r="302" spans="1:10" ht="15.75" customHeight="1" x14ac:dyDescent="0.25">
      <c r="A302">
        <v>1301</v>
      </c>
      <c r="B302">
        <v>58</v>
      </c>
      <c r="C302" t="s">
        <v>10</v>
      </c>
      <c r="D302" t="s">
        <v>8</v>
      </c>
      <c r="E302" t="s">
        <v>9</v>
      </c>
      <c r="F302">
        <v>94700</v>
      </c>
      <c r="G302">
        <v>4</v>
      </c>
      <c r="H302">
        <v>1</v>
      </c>
      <c r="I302" t="s">
        <v>7</v>
      </c>
      <c r="J302" t="str">
        <f t="shared" si="4"/>
        <v>Mid-Level</v>
      </c>
    </row>
    <row r="303" spans="1:10" ht="15.75" customHeight="1" x14ac:dyDescent="0.25">
      <c r="A303">
        <v>1302</v>
      </c>
      <c r="B303">
        <v>31</v>
      </c>
      <c r="C303" t="s">
        <v>4</v>
      </c>
      <c r="D303" t="s">
        <v>16</v>
      </c>
      <c r="E303" t="s">
        <v>25</v>
      </c>
      <c r="F303">
        <v>82780</v>
      </c>
      <c r="G303">
        <v>19</v>
      </c>
      <c r="H303">
        <v>5</v>
      </c>
      <c r="I303" t="s">
        <v>7</v>
      </c>
      <c r="J303" t="str">
        <f t="shared" si="4"/>
        <v>Senior</v>
      </c>
    </row>
    <row r="304" spans="1:10" ht="15.75" customHeight="1" x14ac:dyDescent="0.25">
      <c r="A304">
        <v>1303</v>
      </c>
      <c r="B304">
        <v>38</v>
      </c>
      <c r="C304" t="s">
        <v>4</v>
      </c>
      <c r="D304" t="s">
        <v>8</v>
      </c>
      <c r="E304" t="s">
        <v>13</v>
      </c>
      <c r="F304">
        <v>47121</v>
      </c>
      <c r="G304">
        <v>15</v>
      </c>
      <c r="H304">
        <v>3</v>
      </c>
      <c r="I304" t="s">
        <v>7</v>
      </c>
      <c r="J304" t="str">
        <f t="shared" si="4"/>
        <v>Senior</v>
      </c>
    </row>
    <row r="305" spans="1:10" ht="15.75" customHeight="1" x14ac:dyDescent="0.25">
      <c r="A305">
        <v>1304</v>
      </c>
      <c r="B305">
        <v>37</v>
      </c>
      <c r="C305" t="s">
        <v>10</v>
      </c>
      <c r="D305" t="s">
        <v>11</v>
      </c>
      <c r="E305" t="s">
        <v>14</v>
      </c>
      <c r="F305">
        <v>61603</v>
      </c>
      <c r="G305">
        <v>3</v>
      </c>
      <c r="H305">
        <v>1</v>
      </c>
      <c r="I305" t="s">
        <v>7</v>
      </c>
      <c r="J305" t="str">
        <f t="shared" si="4"/>
        <v>Mid-Level</v>
      </c>
    </row>
    <row r="306" spans="1:10" ht="15.75" customHeight="1" x14ac:dyDescent="0.25">
      <c r="A306">
        <v>1305</v>
      </c>
      <c r="B306">
        <v>43</v>
      </c>
      <c r="C306" t="s">
        <v>4</v>
      </c>
      <c r="D306" t="s">
        <v>16</v>
      </c>
      <c r="E306" t="s">
        <v>25</v>
      </c>
      <c r="F306">
        <v>37121</v>
      </c>
      <c r="G306">
        <v>18</v>
      </c>
      <c r="H306">
        <v>5</v>
      </c>
      <c r="I306" t="s">
        <v>7</v>
      </c>
      <c r="J306" t="str">
        <f t="shared" si="4"/>
        <v>Senior</v>
      </c>
    </row>
    <row r="307" spans="1:10" ht="15.75" customHeight="1" x14ac:dyDescent="0.25">
      <c r="A307">
        <v>1306</v>
      </c>
      <c r="B307">
        <v>56</v>
      </c>
      <c r="C307" t="s">
        <v>10</v>
      </c>
      <c r="D307" t="s">
        <v>11</v>
      </c>
      <c r="E307" t="s">
        <v>14</v>
      </c>
      <c r="F307">
        <v>47587</v>
      </c>
      <c r="G307">
        <v>5</v>
      </c>
      <c r="H307">
        <v>1</v>
      </c>
      <c r="I307" t="s">
        <v>15</v>
      </c>
      <c r="J307" t="str">
        <f t="shared" si="4"/>
        <v>Mid-Level</v>
      </c>
    </row>
    <row r="308" spans="1:10" ht="15.75" customHeight="1" x14ac:dyDescent="0.25">
      <c r="A308">
        <v>1307</v>
      </c>
      <c r="B308">
        <v>43</v>
      </c>
      <c r="C308" t="s">
        <v>4</v>
      </c>
      <c r="D308" t="s">
        <v>8</v>
      </c>
      <c r="E308" t="s">
        <v>13</v>
      </c>
      <c r="F308">
        <v>38789</v>
      </c>
      <c r="G308">
        <v>11</v>
      </c>
      <c r="H308">
        <v>1</v>
      </c>
      <c r="I308" t="s">
        <v>15</v>
      </c>
      <c r="J308" t="str">
        <f t="shared" si="4"/>
        <v>Senior</v>
      </c>
    </row>
    <row r="309" spans="1:10" ht="15.75" customHeight="1" x14ac:dyDescent="0.25">
      <c r="A309">
        <v>1308</v>
      </c>
      <c r="B309">
        <v>29</v>
      </c>
      <c r="C309" t="s">
        <v>4</v>
      </c>
      <c r="D309" t="s">
        <v>18</v>
      </c>
      <c r="E309" t="s">
        <v>19</v>
      </c>
      <c r="F309">
        <v>33463</v>
      </c>
      <c r="G309">
        <v>13</v>
      </c>
      <c r="H309">
        <v>3</v>
      </c>
      <c r="I309" t="s">
        <v>7</v>
      </c>
      <c r="J309" t="str">
        <f t="shared" si="4"/>
        <v>Senior</v>
      </c>
    </row>
    <row r="310" spans="1:10" ht="15.75" customHeight="1" x14ac:dyDescent="0.25">
      <c r="A310">
        <v>1309</v>
      </c>
      <c r="B310">
        <v>29</v>
      </c>
      <c r="C310" t="s">
        <v>10</v>
      </c>
      <c r="D310" t="s">
        <v>11</v>
      </c>
      <c r="E310" t="s">
        <v>14</v>
      </c>
      <c r="F310">
        <v>104101</v>
      </c>
      <c r="G310">
        <v>4</v>
      </c>
      <c r="H310">
        <v>5</v>
      </c>
      <c r="I310" t="s">
        <v>7</v>
      </c>
      <c r="J310" t="str">
        <f t="shared" si="4"/>
        <v>Mid-Level</v>
      </c>
    </row>
    <row r="311" spans="1:10" ht="15.75" customHeight="1" x14ac:dyDescent="0.25">
      <c r="A311">
        <v>1310</v>
      </c>
      <c r="B311">
        <v>56</v>
      </c>
      <c r="C311" t="s">
        <v>10</v>
      </c>
      <c r="D311" t="s">
        <v>21</v>
      </c>
      <c r="E311" t="s">
        <v>22</v>
      </c>
      <c r="F311">
        <v>29713</v>
      </c>
      <c r="G311">
        <v>13</v>
      </c>
      <c r="H311">
        <v>5</v>
      </c>
      <c r="I311" t="s">
        <v>7</v>
      </c>
      <c r="J311" t="str">
        <f t="shared" si="4"/>
        <v>Senior</v>
      </c>
    </row>
    <row r="312" spans="1:10" ht="15.75" customHeight="1" x14ac:dyDescent="0.25">
      <c r="A312">
        <v>1311</v>
      </c>
      <c r="B312">
        <v>54</v>
      </c>
      <c r="C312" t="s">
        <v>10</v>
      </c>
      <c r="D312" t="s">
        <v>5</v>
      </c>
      <c r="E312" t="s">
        <v>6</v>
      </c>
      <c r="F312">
        <v>56747</v>
      </c>
      <c r="G312">
        <v>14</v>
      </c>
      <c r="H312">
        <v>4</v>
      </c>
      <c r="I312" t="s">
        <v>7</v>
      </c>
      <c r="J312" t="str">
        <f t="shared" si="4"/>
        <v>Senior</v>
      </c>
    </row>
    <row r="313" spans="1:10" ht="15.75" customHeight="1" x14ac:dyDescent="0.25">
      <c r="A313">
        <v>1312</v>
      </c>
      <c r="B313">
        <v>28</v>
      </c>
      <c r="C313" t="s">
        <v>4</v>
      </c>
      <c r="D313" t="s">
        <v>16</v>
      </c>
      <c r="E313" t="s">
        <v>17</v>
      </c>
      <c r="F313">
        <v>50570</v>
      </c>
      <c r="G313">
        <v>10</v>
      </c>
      <c r="H313">
        <v>4</v>
      </c>
      <c r="I313" t="s">
        <v>7</v>
      </c>
      <c r="J313" t="str">
        <f t="shared" si="4"/>
        <v>Senior</v>
      </c>
    </row>
    <row r="314" spans="1:10" ht="15.75" customHeight="1" x14ac:dyDescent="0.25">
      <c r="A314">
        <v>1313</v>
      </c>
      <c r="B314">
        <v>36</v>
      </c>
      <c r="C314" t="s">
        <v>10</v>
      </c>
      <c r="D314" t="s">
        <v>11</v>
      </c>
      <c r="E314" t="s">
        <v>12</v>
      </c>
      <c r="F314">
        <v>102581</v>
      </c>
      <c r="G314">
        <v>20</v>
      </c>
      <c r="H314">
        <v>5</v>
      </c>
      <c r="I314" t="s">
        <v>7</v>
      </c>
      <c r="J314" t="str">
        <f t="shared" si="4"/>
        <v>Senior</v>
      </c>
    </row>
    <row r="315" spans="1:10" ht="15.75" customHeight="1" x14ac:dyDescent="0.25">
      <c r="A315">
        <v>1314</v>
      </c>
      <c r="B315">
        <v>37</v>
      </c>
      <c r="C315" t="s">
        <v>4</v>
      </c>
      <c r="D315" t="s">
        <v>21</v>
      </c>
      <c r="E315" t="s">
        <v>24</v>
      </c>
      <c r="F315">
        <v>38116</v>
      </c>
      <c r="G315">
        <v>0</v>
      </c>
      <c r="H315">
        <v>2</v>
      </c>
      <c r="I315" t="s">
        <v>7</v>
      </c>
      <c r="J315" t="str">
        <f t="shared" si="4"/>
        <v>Junior</v>
      </c>
    </row>
    <row r="316" spans="1:10" ht="15.75" customHeight="1" x14ac:dyDescent="0.25">
      <c r="A316">
        <v>1315</v>
      </c>
      <c r="B316">
        <v>45</v>
      </c>
      <c r="C316" t="s">
        <v>4</v>
      </c>
      <c r="D316" t="s">
        <v>16</v>
      </c>
      <c r="E316" t="s">
        <v>25</v>
      </c>
      <c r="F316">
        <v>87282</v>
      </c>
      <c r="G316">
        <v>2</v>
      </c>
      <c r="H316">
        <v>3</v>
      </c>
      <c r="I316" t="s">
        <v>7</v>
      </c>
      <c r="J316" t="str">
        <f t="shared" si="4"/>
        <v>Junior</v>
      </c>
    </row>
    <row r="317" spans="1:10" ht="15.75" customHeight="1" x14ac:dyDescent="0.25">
      <c r="A317">
        <v>1316</v>
      </c>
      <c r="B317">
        <v>29</v>
      </c>
      <c r="C317" t="s">
        <v>10</v>
      </c>
      <c r="D317" t="s">
        <v>16</v>
      </c>
      <c r="E317" t="s">
        <v>25</v>
      </c>
      <c r="F317">
        <v>29725</v>
      </c>
      <c r="G317">
        <v>17</v>
      </c>
      <c r="H317">
        <v>4</v>
      </c>
      <c r="I317" t="s">
        <v>7</v>
      </c>
      <c r="J317" t="str">
        <f t="shared" si="4"/>
        <v>Senior</v>
      </c>
    </row>
    <row r="318" spans="1:10" ht="15.75" customHeight="1" x14ac:dyDescent="0.25">
      <c r="A318">
        <v>1317</v>
      </c>
      <c r="B318">
        <v>42</v>
      </c>
      <c r="C318" t="s">
        <v>10</v>
      </c>
      <c r="D318" t="s">
        <v>21</v>
      </c>
      <c r="E318" t="s">
        <v>24</v>
      </c>
      <c r="F318">
        <v>64755</v>
      </c>
      <c r="G318">
        <v>7</v>
      </c>
      <c r="H318">
        <v>4</v>
      </c>
      <c r="I318" t="s">
        <v>7</v>
      </c>
      <c r="J318" t="str">
        <f t="shared" si="4"/>
        <v>Senior</v>
      </c>
    </row>
    <row r="319" spans="1:10" ht="15.75" customHeight="1" x14ac:dyDescent="0.25">
      <c r="A319">
        <v>1318</v>
      </c>
      <c r="B319">
        <v>43</v>
      </c>
      <c r="C319" t="s">
        <v>10</v>
      </c>
      <c r="D319" t="s">
        <v>16</v>
      </c>
      <c r="E319" t="s">
        <v>17</v>
      </c>
      <c r="F319">
        <v>37197</v>
      </c>
      <c r="G319">
        <v>14</v>
      </c>
      <c r="H319">
        <v>5</v>
      </c>
      <c r="I319" t="s">
        <v>15</v>
      </c>
      <c r="J319" t="str">
        <f t="shared" si="4"/>
        <v>Senior</v>
      </c>
    </row>
    <row r="320" spans="1:10" ht="15.75" customHeight="1" x14ac:dyDescent="0.25">
      <c r="A320">
        <v>1319</v>
      </c>
      <c r="B320">
        <v>48</v>
      </c>
      <c r="C320" t="s">
        <v>4</v>
      </c>
      <c r="D320" t="s">
        <v>21</v>
      </c>
      <c r="E320" t="s">
        <v>22</v>
      </c>
      <c r="F320">
        <v>65086</v>
      </c>
      <c r="G320">
        <v>18</v>
      </c>
      <c r="H320">
        <v>2</v>
      </c>
      <c r="I320" t="s">
        <v>7</v>
      </c>
      <c r="J320" t="str">
        <f t="shared" si="4"/>
        <v>Senior</v>
      </c>
    </row>
    <row r="321" spans="1:10" ht="15.75" customHeight="1" x14ac:dyDescent="0.25">
      <c r="A321">
        <v>1320</v>
      </c>
      <c r="B321">
        <v>54</v>
      </c>
      <c r="C321" t="s">
        <v>4</v>
      </c>
      <c r="D321" t="s">
        <v>5</v>
      </c>
      <c r="E321" t="s">
        <v>20</v>
      </c>
      <c r="F321">
        <v>65417</v>
      </c>
      <c r="G321">
        <v>7</v>
      </c>
      <c r="H321">
        <v>1</v>
      </c>
      <c r="I321" t="s">
        <v>15</v>
      </c>
      <c r="J321" t="str">
        <f t="shared" si="4"/>
        <v>Senior</v>
      </c>
    </row>
    <row r="322" spans="1:10" ht="15.75" customHeight="1" x14ac:dyDescent="0.25">
      <c r="A322">
        <v>1321</v>
      </c>
      <c r="B322">
        <v>37</v>
      </c>
      <c r="C322" t="s">
        <v>10</v>
      </c>
      <c r="D322" t="s">
        <v>5</v>
      </c>
      <c r="E322" t="s">
        <v>20</v>
      </c>
      <c r="F322">
        <v>110404</v>
      </c>
      <c r="G322">
        <v>16</v>
      </c>
      <c r="H322">
        <v>3</v>
      </c>
      <c r="I322" t="s">
        <v>7</v>
      </c>
      <c r="J322" t="str">
        <f t="shared" ref="J322:J385" si="5">IF(G322&lt;3,"Junior",IF(G322&lt;7,"Mid-Level","Senior"))</f>
        <v>Senior</v>
      </c>
    </row>
    <row r="323" spans="1:10" ht="15.75" customHeight="1" x14ac:dyDescent="0.25">
      <c r="A323">
        <v>1322</v>
      </c>
      <c r="B323">
        <v>40</v>
      </c>
      <c r="C323" t="s">
        <v>4</v>
      </c>
      <c r="D323" t="s">
        <v>5</v>
      </c>
      <c r="E323" t="s">
        <v>20</v>
      </c>
      <c r="F323">
        <v>56775</v>
      </c>
      <c r="G323">
        <v>9</v>
      </c>
      <c r="H323">
        <v>1</v>
      </c>
      <c r="I323" t="s">
        <v>7</v>
      </c>
      <c r="J323" t="str">
        <f t="shared" si="5"/>
        <v>Senior</v>
      </c>
    </row>
    <row r="324" spans="1:10" ht="15.75" customHeight="1" x14ac:dyDescent="0.25">
      <c r="A324">
        <v>1323</v>
      </c>
      <c r="B324">
        <v>56</v>
      </c>
      <c r="C324" t="s">
        <v>4</v>
      </c>
      <c r="D324" t="s">
        <v>11</v>
      </c>
      <c r="E324" t="s">
        <v>12</v>
      </c>
      <c r="F324">
        <v>92701</v>
      </c>
      <c r="G324">
        <v>18</v>
      </c>
      <c r="H324">
        <v>3</v>
      </c>
      <c r="I324" t="s">
        <v>15</v>
      </c>
      <c r="J324" t="str">
        <f t="shared" si="5"/>
        <v>Senior</v>
      </c>
    </row>
    <row r="325" spans="1:10" ht="15.75" customHeight="1" x14ac:dyDescent="0.25">
      <c r="A325">
        <v>1324</v>
      </c>
      <c r="B325">
        <v>24</v>
      </c>
      <c r="C325" t="s">
        <v>4</v>
      </c>
      <c r="D325" t="s">
        <v>16</v>
      </c>
      <c r="E325" t="s">
        <v>25</v>
      </c>
      <c r="F325">
        <v>84513</v>
      </c>
      <c r="G325">
        <v>14</v>
      </c>
      <c r="H325">
        <v>2</v>
      </c>
      <c r="I325" t="s">
        <v>7</v>
      </c>
      <c r="J325" t="str">
        <f t="shared" si="5"/>
        <v>Senior</v>
      </c>
    </row>
    <row r="326" spans="1:10" ht="15.75" customHeight="1" x14ac:dyDescent="0.25">
      <c r="A326">
        <v>1325</v>
      </c>
      <c r="B326">
        <v>51</v>
      </c>
      <c r="C326" t="s">
        <v>10</v>
      </c>
      <c r="D326" t="s">
        <v>5</v>
      </c>
      <c r="E326" t="s">
        <v>20</v>
      </c>
      <c r="F326">
        <v>84774</v>
      </c>
      <c r="G326">
        <v>8</v>
      </c>
      <c r="H326">
        <v>2</v>
      </c>
      <c r="I326" t="s">
        <v>15</v>
      </c>
      <c r="J326" t="str">
        <f t="shared" si="5"/>
        <v>Senior</v>
      </c>
    </row>
    <row r="327" spans="1:10" ht="15.75" customHeight="1" x14ac:dyDescent="0.25">
      <c r="A327">
        <v>1326</v>
      </c>
      <c r="B327">
        <v>50</v>
      </c>
      <c r="C327" t="s">
        <v>4</v>
      </c>
      <c r="D327" t="s">
        <v>5</v>
      </c>
      <c r="E327" t="s">
        <v>20</v>
      </c>
      <c r="F327">
        <v>117286</v>
      </c>
      <c r="G327">
        <v>9</v>
      </c>
      <c r="H327">
        <v>4</v>
      </c>
      <c r="I327" t="s">
        <v>15</v>
      </c>
      <c r="J327" t="str">
        <f t="shared" si="5"/>
        <v>Senior</v>
      </c>
    </row>
    <row r="328" spans="1:10" ht="15.75" customHeight="1" x14ac:dyDescent="0.25">
      <c r="A328">
        <v>1327</v>
      </c>
      <c r="B328">
        <v>57</v>
      </c>
      <c r="C328" t="s">
        <v>10</v>
      </c>
      <c r="D328" t="s">
        <v>5</v>
      </c>
      <c r="E328" t="s">
        <v>6</v>
      </c>
      <c r="F328">
        <v>72122</v>
      </c>
      <c r="G328">
        <v>7</v>
      </c>
      <c r="H328">
        <v>1</v>
      </c>
      <c r="I328" t="s">
        <v>15</v>
      </c>
      <c r="J328" t="str">
        <f t="shared" si="5"/>
        <v>Senior</v>
      </c>
    </row>
    <row r="329" spans="1:10" ht="15.75" customHeight="1" x14ac:dyDescent="0.25">
      <c r="A329">
        <v>1328</v>
      </c>
      <c r="B329">
        <v>55</v>
      </c>
      <c r="C329" t="s">
        <v>4</v>
      </c>
      <c r="D329" t="s">
        <v>8</v>
      </c>
      <c r="E329" t="s">
        <v>9</v>
      </c>
      <c r="F329">
        <v>70889</v>
      </c>
      <c r="G329">
        <v>12</v>
      </c>
      <c r="H329">
        <v>4</v>
      </c>
      <c r="I329" t="s">
        <v>7</v>
      </c>
      <c r="J329" t="str">
        <f t="shared" si="5"/>
        <v>Senior</v>
      </c>
    </row>
    <row r="330" spans="1:10" ht="15.75" customHeight="1" x14ac:dyDescent="0.25">
      <c r="A330">
        <v>1329</v>
      </c>
      <c r="B330">
        <v>48</v>
      </c>
      <c r="C330" t="s">
        <v>10</v>
      </c>
      <c r="D330" t="s">
        <v>5</v>
      </c>
      <c r="E330" t="s">
        <v>6</v>
      </c>
      <c r="F330">
        <v>70190</v>
      </c>
      <c r="G330">
        <v>2</v>
      </c>
      <c r="H330">
        <v>2</v>
      </c>
      <c r="I330" t="s">
        <v>7</v>
      </c>
      <c r="J330" t="str">
        <f t="shared" si="5"/>
        <v>Junior</v>
      </c>
    </row>
    <row r="331" spans="1:10" ht="15.75" customHeight="1" x14ac:dyDescent="0.25">
      <c r="A331">
        <v>1330</v>
      </c>
      <c r="B331">
        <v>47</v>
      </c>
      <c r="C331" t="s">
        <v>4</v>
      </c>
      <c r="D331" t="s">
        <v>11</v>
      </c>
      <c r="E331" t="s">
        <v>12</v>
      </c>
      <c r="F331">
        <v>80261</v>
      </c>
      <c r="G331">
        <v>1</v>
      </c>
      <c r="H331">
        <v>2</v>
      </c>
      <c r="I331" t="s">
        <v>7</v>
      </c>
      <c r="J331" t="str">
        <f t="shared" si="5"/>
        <v>Junior</v>
      </c>
    </row>
    <row r="332" spans="1:10" ht="15.75" customHeight="1" x14ac:dyDescent="0.25">
      <c r="A332">
        <v>1331</v>
      </c>
      <c r="B332">
        <v>28</v>
      </c>
      <c r="C332" t="s">
        <v>10</v>
      </c>
      <c r="D332" t="s">
        <v>16</v>
      </c>
      <c r="E332" t="s">
        <v>25</v>
      </c>
      <c r="F332">
        <v>110714</v>
      </c>
      <c r="G332">
        <v>1</v>
      </c>
      <c r="H332">
        <v>2</v>
      </c>
      <c r="I332" t="s">
        <v>15</v>
      </c>
      <c r="J332" t="str">
        <f t="shared" si="5"/>
        <v>Junior</v>
      </c>
    </row>
    <row r="333" spans="1:10" ht="15.75" customHeight="1" x14ac:dyDescent="0.25">
      <c r="A333">
        <v>1332</v>
      </c>
      <c r="B333">
        <v>34</v>
      </c>
      <c r="C333" t="s">
        <v>10</v>
      </c>
      <c r="D333" t="s">
        <v>16</v>
      </c>
      <c r="E333" t="s">
        <v>25</v>
      </c>
      <c r="F333">
        <v>112132</v>
      </c>
      <c r="G333">
        <v>12</v>
      </c>
      <c r="H333">
        <v>3</v>
      </c>
      <c r="I333" t="s">
        <v>7</v>
      </c>
      <c r="J333" t="str">
        <f t="shared" si="5"/>
        <v>Senior</v>
      </c>
    </row>
    <row r="334" spans="1:10" ht="15.75" customHeight="1" x14ac:dyDescent="0.25">
      <c r="A334">
        <v>1333</v>
      </c>
      <c r="B334">
        <v>50</v>
      </c>
      <c r="C334" t="s">
        <v>10</v>
      </c>
      <c r="D334" t="s">
        <v>8</v>
      </c>
      <c r="E334" t="s">
        <v>13</v>
      </c>
      <c r="F334">
        <v>47647</v>
      </c>
      <c r="G334">
        <v>17</v>
      </c>
      <c r="H334">
        <v>2</v>
      </c>
      <c r="I334" t="s">
        <v>15</v>
      </c>
      <c r="J334" t="str">
        <f t="shared" si="5"/>
        <v>Senior</v>
      </c>
    </row>
    <row r="335" spans="1:10" ht="15.75" customHeight="1" x14ac:dyDescent="0.25">
      <c r="A335">
        <v>1334</v>
      </c>
      <c r="B335">
        <v>50</v>
      </c>
      <c r="C335" t="s">
        <v>10</v>
      </c>
      <c r="D335" t="s">
        <v>8</v>
      </c>
      <c r="E335" t="s">
        <v>9</v>
      </c>
      <c r="F335">
        <v>24307</v>
      </c>
      <c r="G335">
        <v>13</v>
      </c>
      <c r="H335">
        <v>4</v>
      </c>
      <c r="I335" t="s">
        <v>7</v>
      </c>
      <c r="J335" t="str">
        <f t="shared" si="5"/>
        <v>Senior</v>
      </c>
    </row>
    <row r="336" spans="1:10" ht="15.75" customHeight="1" x14ac:dyDescent="0.25">
      <c r="A336">
        <v>1335</v>
      </c>
      <c r="B336">
        <v>32</v>
      </c>
      <c r="C336" t="s">
        <v>10</v>
      </c>
      <c r="D336" t="s">
        <v>5</v>
      </c>
      <c r="E336" t="s">
        <v>6</v>
      </c>
      <c r="F336">
        <v>119773</v>
      </c>
      <c r="G336">
        <v>16</v>
      </c>
      <c r="H336">
        <v>4</v>
      </c>
      <c r="I336" t="s">
        <v>7</v>
      </c>
      <c r="J336" t="str">
        <f t="shared" si="5"/>
        <v>Senior</v>
      </c>
    </row>
    <row r="337" spans="1:10" ht="15.75" customHeight="1" x14ac:dyDescent="0.25">
      <c r="A337">
        <v>1336</v>
      </c>
      <c r="B337">
        <v>36</v>
      </c>
      <c r="C337" t="s">
        <v>4</v>
      </c>
      <c r="D337" t="s">
        <v>5</v>
      </c>
      <c r="E337" t="s">
        <v>20</v>
      </c>
      <c r="F337">
        <v>104314</v>
      </c>
      <c r="G337">
        <v>20</v>
      </c>
      <c r="H337">
        <v>4</v>
      </c>
      <c r="I337" t="s">
        <v>7</v>
      </c>
      <c r="J337" t="str">
        <f t="shared" si="5"/>
        <v>Senior</v>
      </c>
    </row>
    <row r="338" spans="1:10" ht="15.75" customHeight="1" x14ac:dyDescent="0.25">
      <c r="A338">
        <v>1337</v>
      </c>
      <c r="B338">
        <v>43</v>
      </c>
      <c r="C338" t="s">
        <v>4</v>
      </c>
      <c r="D338" t="s">
        <v>5</v>
      </c>
      <c r="E338" t="s">
        <v>20</v>
      </c>
      <c r="F338">
        <v>76765</v>
      </c>
      <c r="G338">
        <v>5</v>
      </c>
      <c r="H338">
        <v>1</v>
      </c>
      <c r="I338" t="s">
        <v>7</v>
      </c>
      <c r="J338" t="str">
        <f t="shared" si="5"/>
        <v>Mid-Level</v>
      </c>
    </row>
    <row r="339" spans="1:10" ht="15.75" customHeight="1" x14ac:dyDescent="0.25">
      <c r="A339">
        <v>1338</v>
      </c>
      <c r="B339">
        <v>51</v>
      </c>
      <c r="C339" t="s">
        <v>10</v>
      </c>
      <c r="D339" t="s">
        <v>16</v>
      </c>
      <c r="E339" t="s">
        <v>25</v>
      </c>
      <c r="F339">
        <v>107940</v>
      </c>
      <c r="G339">
        <v>6</v>
      </c>
      <c r="H339">
        <v>2</v>
      </c>
      <c r="I339" t="s">
        <v>15</v>
      </c>
      <c r="J339" t="str">
        <f t="shared" si="5"/>
        <v>Mid-Level</v>
      </c>
    </row>
    <row r="340" spans="1:10" ht="15.75" customHeight="1" x14ac:dyDescent="0.25">
      <c r="A340">
        <v>1339</v>
      </c>
      <c r="B340">
        <v>54</v>
      </c>
      <c r="C340" t="s">
        <v>4</v>
      </c>
      <c r="D340" t="s">
        <v>8</v>
      </c>
      <c r="E340" t="s">
        <v>9</v>
      </c>
      <c r="F340">
        <v>36367</v>
      </c>
      <c r="G340">
        <v>19</v>
      </c>
      <c r="H340">
        <v>5</v>
      </c>
      <c r="I340" t="s">
        <v>7</v>
      </c>
      <c r="J340" t="str">
        <f t="shared" si="5"/>
        <v>Senior</v>
      </c>
    </row>
    <row r="341" spans="1:10" ht="15.75" customHeight="1" x14ac:dyDescent="0.25">
      <c r="A341">
        <v>1340</v>
      </c>
      <c r="B341">
        <v>57</v>
      </c>
      <c r="C341" t="s">
        <v>10</v>
      </c>
      <c r="D341" t="s">
        <v>21</v>
      </c>
      <c r="E341" t="s">
        <v>22</v>
      </c>
      <c r="F341">
        <v>78719</v>
      </c>
      <c r="G341">
        <v>0</v>
      </c>
      <c r="H341">
        <v>3</v>
      </c>
      <c r="I341" t="s">
        <v>7</v>
      </c>
      <c r="J341" t="str">
        <f t="shared" si="5"/>
        <v>Junior</v>
      </c>
    </row>
    <row r="342" spans="1:10" ht="15.75" customHeight="1" x14ac:dyDescent="0.25">
      <c r="A342">
        <v>1341</v>
      </c>
      <c r="B342">
        <v>28</v>
      </c>
      <c r="C342" t="s">
        <v>10</v>
      </c>
      <c r="D342" t="s">
        <v>21</v>
      </c>
      <c r="E342" t="s">
        <v>24</v>
      </c>
      <c r="F342">
        <v>79140</v>
      </c>
      <c r="G342">
        <v>0</v>
      </c>
      <c r="H342">
        <v>2</v>
      </c>
      <c r="I342" t="s">
        <v>7</v>
      </c>
      <c r="J342" t="str">
        <f t="shared" si="5"/>
        <v>Junior</v>
      </c>
    </row>
    <row r="343" spans="1:10" ht="15.75" customHeight="1" x14ac:dyDescent="0.25">
      <c r="A343">
        <v>1342</v>
      </c>
      <c r="B343">
        <v>45</v>
      </c>
      <c r="C343" t="s">
        <v>10</v>
      </c>
      <c r="D343" t="s">
        <v>16</v>
      </c>
      <c r="E343" t="s">
        <v>17</v>
      </c>
      <c r="F343">
        <v>50870</v>
      </c>
      <c r="G343">
        <v>8</v>
      </c>
      <c r="H343">
        <v>5</v>
      </c>
      <c r="I343" t="s">
        <v>7</v>
      </c>
      <c r="J343" t="str">
        <f t="shared" si="5"/>
        <v>Senior</v>
      </c>
    </row>
    <row r="344" spans="1:10" ht="15.75" customHeight="1" x14ac:dyDescent="0.25">
      <c r="A344">
        <v>1343</v>
      </c>
      <c r="B344">
        <v>23</v>
      </c>
      <c r="C344" t="s">
        <v>4</v>
      </c>
      <c r="D344" t="s">
        <v>8</v>
      </c>
      <c r="E344" t="s">
        <v>13</v>
      </c>
      <c r="F344">
        <v>61007</v>
      </c>
      <c r="G344">
        <v>20</v>
      </c>
      <c r="H344">
        <v>1</v>
      </c>
      <c r="I344" t="s">
        <v>7</v>
      </c>
      <c r="J344" t="str">
        <f t="shared" si="5"/>
        <v>Senior</v>
      </c>
    </row>
    <row r="345" spans="1:10" ht="15.75" customHeight="1" x14ac:dyDescent="0.25">
      <c r="A345">
        <v>1344</v>
      </c>
      <c r="B345">
        <v>30</v>
      </c>
      <c r="C345" t="s">
        <v>4</v>
      </c>
      <c r="D345" t="s">
        <v>5</v>
      </c>
      <c r="E345" t="s">
        <v>20</v>
      </c>
      <c r="F345">
        <v>89776</v>
      </c>
      <c r="G345">
        <v>16</v>
      </c>
      <c r="H345">
        <v>4</v>
      </c>
      <c r="I345" t="s">
        <v>7</v>
      </c>
      <c r="J345" t="str">
        <f t="shared" si="5"/>
        <v>Senior</v>
      </c>
    </row>
    <row r="346" spans="1:10" ht="15.75" customHeight="1" x14ac:dyDescent="0.25">
      <c r="A346">
        <v>1345</v>
      </c>
      <c r="B346">
        <v>41</v>
      </c>
      <c r="C346" t="s">
        <v>10</v>
      </c>
      <c r="D346" t="s">
        <v>11</v>
      </c>
      <c r="E346" t="s">
        <v>12</v>
      </c>
      <c r="F346">
        <v>75899</v>
      </c>
      <c r="G346">
        <v>18</v>
      </c>
      <c r="H346">
        <v>2</v>
      </c>
      <c r="I346" t="s">
        <v>7</v>
      </c>
      <c r="J346" t="str">
        <f t="shared" si="5"/>
        <v>Senior</v>
      </c>
    </row>
    <row r="347" spans="1:10" ht="15.75" customHeight="1" x14ac:dyDescent="0.25">
      <c r="A347">
        <v>1346</v>
      </c>
      <c r="B347">
        <v>54</v>
      </c>
      <c r="C347" t="s">
        <v>10</v>
      </c>
      <c r="D347" t="s">
        <v>11</v>
      </c>
      <c r="E347" t="s">
        <v>14</v>
      </c>
      <c r="F347">
        <v>41562</v>
      </c>
      <c r="G347">
        <v>14</v>
      </c>
      <c r="H347">
        <v>5</v>
      </c>
      <c r="I347" t="s">
        <v>15</v>
      </c>
      <c r="J347" t="str">
        <f t="shared" si="5"/>
        <v>Senior</v>
      </c>
    </row>
    <row r="348" spans="1:10" ht="15.75" customHeight="1" x14ac:dyDescent="0.25">
      <c r="A348">
        <v>1347</v>
      </c>
      <c r="B348">
        <v>54</v>
      </c>
      <c r="C348" t="s">
        <v>10</v>
      </c>
      <c r="D348" t="s">
        <v>21</v>
      </c>
      <c r="E348" t="s">
        <v>22</v>
      </c>
      <c r="F348">
        <v>115232</v>
      </c>
      <c r="G348">
        <v>19</v>
      </c>
      <c r="H348">
        <v>5</v>
      </c>
      <c r="I348" t="s">
        <v>7</v>
      </c>
      <c r="J348" t="str">
        <f t="shared" si="5"/>
        <v>Senior</v>
      </c>
    </row>
    <row r="349" spans="1:10" ht="15.75" customHeight="1" x14ac:dyDescent="0.25">
      <c r="A349">
        <v>1348</v>
      </c>
      <c r="B349">
        <v>55</v>
      </c>
      <c r="C349" t="s">
        <v>10</v>
      </c>
      <c r="D349" t="s">
        <v>8</v>
      </c>
      <c r="E349" t="s">
        <v>13</v>
      </c>
      <c r="F349">
        <v>44105</v>
      </c>
      <c r="G349">
        <v>3</v>
      </c>
      <c r="H349">
        <v>2</v>
      </c>
      <c r="I349" t="s">
        <v>7</v>
      </c>
      <c r="J349" t="str">
        <f t="shared" si="5"/>
        <v>Mid-Level</v>
      </c>
    </row>
    <row r="350" spans="1:10" ht="15.75" customHeight="1" x14ac:dyDescent="0.25">
      <c r="A350">
        <v>1349</v>
      </c>
      <c r="B350">
        <v>28</v>
      </c>
      <c r="C350" t="s">
        <v>10</v>
      </c>
      <c r="D350" t="s">
        <v>18</v>
      </c>
      <c r="E350" t="s">
        <v>19</v>
      </c>
      <c r="F350">
        <v>116793</v>
      </c>
      <c r="G350">
        <v>4</v>
      </c>
      <c r="H350">
        <v>4</v>
      </c>
      <c r="I350" t="s">
        <v>7</v>
      </c>
      <c r="J350" t="str">
        <f t="shared" si="5"/>
        <v>Mid-Level</v>
      </c>
    </row>
    <row r="351" spans="1:10" ht="15.75" customHeight="1" x14ac:dyDescent="0.25">
      <c r="A351">
        <v>1350</v>
      </c>
      <c r="B351">
        <v>43</v>
      </c>
      <c r="C351" t="s">
        <v>10</v>
      </c>
      <c r="D351" t="s">
        <v>8</v>
      </c>
      <c r="E351" t="s">
        <v>9</v>
      </c>
      <c r="F351">
        <v>67766</v>
      </c>
      <c r="G351">
        <v>16</v>
      </c>
      <c r="H351">
        <v>1</v>
      </c>
      <c r="I351" t="s">
        <v>7</v>
      </c>
      <c r="J351" t="str">
        <f t="shared" si="5"/>
        <v>Senior</v>
      </c>
    </row>
    <row r="352" spans="1:10" ht="15.75" customHeight="1" x14ac:dyDescent="0.25">
      <c r="A352">
        <v>1351</v>
      </c>
      <c r="B352">
        <v>24</v>
      </c>
      <c r="C352" t="s">
        <v>4</v>
      </c>
      <c r="D352" t="s">
        <v>16</v>
      </c>
      <c r="E352" t="s">
        <v>25</v>
      </c>
      <c r="F352">
        <v>100586</v>
      </c>
      <c r="G352">
        <v>19</v>
      </c>
      <c r="H352">
        <v>1</v>
      </c>
      <c r="I352" t="s">
        <v>15</v>
      </c>
      <c r="J352" t="str">
        <f t="shared" si="5"/>
        <v>Senior</v>
      </c>
    </row>
    <row r="353" spans="1:10" ht="15.75" customHeight="1" x14ac:dyDescent="0.25">
      <c r="A353">
        <v>1352</v>
      </c>
      <c r="B353">
        <v>51</v>
      </c>
      <c r="C353" t="s">
        <v>4</v>
      </c>
      <c r="D353" t="s">
        <v>18</v>
      </c>
      <c r="E353" t="s">
        <v>23</v>
      </c>
      <c r="F353">
        <v>70314</v>
      </c>
      <c r="G353">
        <v>4</v>
      </c>
      <c r="H353">
        <v>4</v>
      </c>
      <c r="I353" t="s">
        <v>7</v>
      </c>
      <c r="J353" t="str">
        <f t="shared" si="5"/>
        <v>Mid-Level</v>
      </c>
    </row>
    <row r="354" spans="1:10" ht="15.75" customHeight="1" x14ac:dyDescent="0.25">
      <c r="A354">
        <v>1353</v>
      </c>
      <c r="B354">
        <v>26</v>
      </c>
      <c r="C354" t="s">
        <v>10</v>
      </c>
      <c r="D354" t="s">
        <v>16</v>
      </c>
      <c r="E354" t="s">
        <v>25</v>
      </c>
      <c r="F354">
        <v>115181</v>
      </c>
      <c r="G354">
        <v>17</v>
      </c>
      <c r="H354">
        <v>1</v>
      </c>
      <c r="I354" t="s">
        <v>7</v>
      </c>
      <c r="J354" t="str">
        <f t="shared" si="5"/>
        <v>Senior</v>
      </c>
    </row>
    <row r="355" spans="1:10" ht="15.75" customHeight="1" x14ac:dyDescent="0.25">
      <c r="A355">
        <v>1354</v>
      </c>
      <c r="B355">
        <v>33</v>
      </c>
      <c r="C355" t="s">
        <v>10</v>
      </c>
      <c r="D355" t="s">
        <v>5</v>
      </c>
      <c r="E355" t="s">
        <v>20</v>
      </c>
      <c r="F355">
        <v>113025</v>
      </c>
      <c r="G355">
        <v>10</v>
      </c>
      <c r="H355">
        <v>3</v>
      </c>
      <c r="I355" t="s">
        <v>7</v>
      </c>
      <c r="J355" t="str">
        <f t="shared" si="5"/>
        <v>Senior</v>
      </c>
    </row>
    <row r="356" spans="1:10" ht="15.75" customHeight="1" x14ac:dyDescent="0.25">
      <c r="A356">
        <v>1355</v>
      </c>
      <c r="B356">
        <v>49</v>
      </c>
      <c r="C356" t="s">
        <v>10</v>
      </c>
      <c r="D356" t="s">
        <v>5</v>
      </c>
      <c r="E356" t="s">
        <v>6</v>
      </c>
      <c r="F356">
        <v>72930</v>
      </c>
      <c r="G356">
        <v>15</v>
      </c>
      <c r="H356">
        <v>5</v>
      </c>
      <c r="I356" t="s">
        <v>7</v>
      </c>
      <c r="J356" t="str">
        <f t="shared" si="5"/>
        <v>Senior</v>
      </c>
    </row>
    <row r="357" spans="1:10" ht="15.75" customHeight="1" x14ac:dyDescent="0.25">
      <c r="A357">
        <v>1356</v>
      </c>
      <c r="B357">
        <v>53</v>
      </c>
      <c r="C357" t="s">
        <v>4</v>
      </c>
      <c r="D357" t="s">
        <v>11</v>
      </c>
      <c r="E357" t="s">
        <v>12</v>
      </c>
      <c r="F357">
        <v>71807</v>
      </c>
      <c r="G357">
        <v>16</v>
      </c>
      <c r="H357">
        <v>3</v>
      </c>
      <c r="I357" t="s">
        <v>7</v>
      </c>
      <c r="J357" t="str">
        <f t="shared" si="5"/>
        <v>Senior</v>
      </c>
    </row>
    <row r="358" spans="1:10" ht="15.75" customHeight="1" x14ac:dyDescent="0.25">
      <c r="A358">
        <v>1357</v>
      </c>
      <c r="B358">
        <v>31</v>
      </c>
      <c r="C358" t="s">
        <v>10</v>
      </c>
      <c r="D358" t="s">
        <v>21</v>
      </c>
      <c r="E358" t="s">
        <v>22</v>
      </c>
      <c r="F358">
        <v>104031</v>
      </c>
      <c r="G358">
        <v>7</v>
      </c>
      <c r="H358">
        <v>1</v>
      </c>
      <c r="I358" t="s">
        <v>7</v>
      </c>
      <c r="J358" t="str">
        <f t="shared" si="5"/>
        <v>Senior</v>
      </c>
    </row>
    <row r="359" spans="1:10" ht="15.75" customHeight="1" x14ac:dyDescent="0.25">
      <c r="A359">
        <v>1358</v>
      </c>
      <c r="B359">
        <v>54</v>
      </c>
      <c r="C359" t="s">
        <v>4</v>
      </c>
      <c r="D359" t="s">
        <v>8</v>
      </c>
      <c r="E359" t="s">
        <v>13</v>
      </c>
      <c r="F359">
        <v>118537</v>
      </c>
      <c r="G359">
        <v>20</v>
      </c>
      <c r="H359">
        <v>5</v>
      </c>
      <c r="I359" t="s">
        <v>7</v>
      </c>
      <c r="J359" t="str">
        <f t="shared" si="5"/>
        <v>Senior</v>
      </c>
    </row>
    <row r="360" spans="1:10" ht="15.75" customHeight="1" x14ac:dyDescent="0.25">
      <c r="A360">
        <v>1359</v>
      </c>
      <c r="B360">
        <v>41</v>
      </c>
      <c r="C360" t="s">
        <v>10</v>
      </c>
      <c r="D360" t="s">
        <v>16</v>
      </c>
      <c r="E360" t="s">
        <v>17</v>
      </c>
      <c r="F360">
        <v>56998</v>
      </c>
      <c r="G360">
        <v>11</v>
      </c>
      <c r="H360">
        <v>4</v>
      </c>
      <c r="I360" t="s">
        <v>15</v>
      </c>
      <c r="J360" t="str">
        <f t="shared" si="5"/>
        <v>Senior</v>
      </c>
    </row>
    <row r="361" spans="1:10" ht="15.75" customHeight="1" x14ac:dyDescent="0.25">
      <c r="A361">
        <v>1360</v>
      </c>
      <c r="B361">
        <v>23</v>
      </c>
      <c r="C361" t="s">
        <v>10</v>
      </c>
      <c r="D361" t="s">
        <v>18</v>
      </c>
      <c r="E361" t="s">
        <v>19</v>
      </c>
      <c r="F361">
        <v>57737</v>
      </c>
      <c r="G361">
        <v>0</v>
      </c>
      <c r="H361">
        <v>5</v>
      </c>
      <c r="I361" t="s">
        <v>15</v>
      </c>
      <c r="J361" t="str">
        <f t="shared" si="5"/>
        <v>Junior</v>
      </c>
    </row>
    <row r="362" spans="1:10" ht="15.75" customHeight="1" x14ac:dyDescent="0.25">
      <c r="A362">
        <v>1361</v>
      </c>
      <c r="B362">
        <v>26</v>
      </c>
      <c r="C362" t="s">
        <v>10</v>
      </c>
      <c r="D362" t="s">
        <v>18</v>
      </c>
      <c r="E362" t="s">
        <v>23</v>
      </c>
      <c r="F362">
        <v>119557</v>
      </c>
      <c r="G362">
        <v>13</v>
      </c>
      <c r="H362">
        <v>3</v>
      </c>
      <c r="I362" t="s">
        <v>7</v>
      </c>
      <c r="J362" t="str">
        <f t="shared" si="5"/>
        <v>Senior</v>
      </c>
    </row>
    <row r="363" spans="1:10" ht="15.75" customHeight="1" x14ac:dyDescent="0.25">
      <c r="A363">
        <v>1362</v>
      </c>
      <c r="B363">
        <v>47</v>
      </c>
      <c r="C363" t="s">
        <v>4</v>
      </c>
      <c r="D363" t="s">
        <v>11</v>
      </c>
      <c r="E363" t="s">
        <v>12</v>
      </c>
      <c r="F363">
        <v>47347</v>
      </c>
      <c r="G363">
        <v>6</v>
      </c>
      <c r="H363">
        <v>4</v>
      </c>
      <c r="I363" t="s">
        <v>7</v>
      </c>
      <c r="J363" t="str">
        <f t="shared" si="5"/>
        <v>Mid-Level</v>
      </c>
    </row>
    <row r="364" spans="1:10" ht="15.75" customHeight="1" x14ac:dyDescent="0.25">
      <c r="A364">
        <v>1363</v>
      </c>
      <c r="B364">
        <v>32</v>
      </c>
      <c r="C364" t="s">
        <v>4</v>
      </c>
      <c r="D364" t="s">
        <v>21</v>
      </c>
      <c r="E364" t="s">
        <v>24</v>
      </c>
      <c r="F364">
        <v>36287</v>
      </c>
      <c r="G364">
        <v>19</v>
      </c>
      <c r="H364">
        <v>2</v>
      </c>
      <c r="I364" t="s">
        <v>7</v>
      </c>
      <c r="J364" t="str">
        <f t="shared" si="5"/>
        <v>Senior</v>
      </c>
    </row>
    <row r="365" spans="1:10" ht="15.75" customHeight="1" x14ac:dyDescent="0.25">
      <c r="A365">
        <v>1364</v>
      </c>
      <c r="B365">
        <v>24</v>
      </c>
      <c r="C365" t="s">
        <v>10</v>
      </c>
      <c r="D365" t="s">
        <v>16</v>
      </c>
      <c r="E365" t="s">
        <v>17</v>
      </c>
      <c r="F365">
        <v>77962</v>
      </c>
      <c r="G365">
        <v>20</v>
      </c>
      <c r="H365">
        <v>5</v>
      </c>
      <c r="I365" t="s">
        <v>7</v>
      </c>
      <c r="J365" t="str">
        <f t="shared" si="5"/>
        <v>Senior</v>
      </c>
    </row>
    <row r="366" spans="1:10" ht="15.75" customHeight="1" x14ac:dyDescent="0.25">
      <c r="A366">
        <v>1365</v>
      </c>
      <c r="B366">
        <v>28</v>
      </c>
      <c r="C366" t="s">
        <v>4</v>
      </c>
      <c r="D366" t="s">
        <v>18</v>
      </c>
      <c r="E366" t="s">
        <v>23</v>
      </c>
      <c r="F366">
        <v>53407</v>
      </c>
      <c r="G366">
        <v>8</v>
      </c>
      <c r="H366">
        <v>4</v>
      </c>
      <c r="I366" t="s">
        <v>15</v>
      </c>
      <c r="J366" t="str">
        <f t="shared" si="5"/>
        <v>Senior</v>
      </c>
    </row>
    <row r="367" spans="1:10" ht="15.75" customHeight="1" x14ac:dyDescent="0.25">
      <c r="A367">
        <v>1366</v>
      </c>
      <c r="B367">
        <v>49</v>
      </c>
      <c r="C367" t="s">
        <v>4</v>
      </c>
      <c r="D367" t="s">
        <v>8</v>
      </c>
      <c r="E367" t="s">
        <v>9</v>
      </c>
      <c r="F367">
        <v>67041</v>
      </c>
      <c r="G367">
        <v>9</v>
      </c>
      <c r="H367">
        <v>5</v>
      </c>
      <c r="I367" t="s">
        <v>7</v>
      </c>
      <c r="J367" t="str">
        <f t="shared" si="5"/>
        <v>Senior</v>
      </c>
    </row>
    <row r="368" spans="1:10" ht="15.75" customHeight="1" x14ac:dyDescent="0.25">
      <c r="A368">
        <v>1367</v>
      </c>
      <c r="B368">
        <v>35</v>
      </c>
      <c r="C368" t="s">
        <v>4</v>
      </c>
      <c r="D368" t="s">
        <v>8</v>
      </c>
      <c r="E368" t="s">
        <v>13</v>
      </c>
      <c r="F368">
        <v>29764</v>
      </c>
      <c r="G368">
        <v>7</v>
      </c>
      <c r="H368">
        <v>4</v>
      </c>
      <c r="I368" t="s">
        <v>7</v>
      </c>
      <c r="J368" t="str">
        <f t="shared" si="5"/>
        <v>Senior</v>
      </c>
    </row>
    <row r="369" spans="1:10" ht="15.75" customHeight="1" x14ac:dyDescent="0.25">
      <c r="A369">
        <v>1368</v>
      </c>
      <c r="B369">
        <v>35</v>
      </c>
      <c r="C369" t="s">
        <v>4</v>
      </c>
      <c r="D369" t="s">
        <v>5</v>
      </c>
      <c r="E369" t="s">
        <v>26</v>
      </c>
      <c r="F369">
        <v>40340</v>
      </c>
      <c r="G369">
        <v>20</v>
      </c>
      <c r="H369">
        <v>3</v>
      </c>
      <c r="I369" t="s">
        <v>7</v>
      </c>
      <c r="J369" t="str">
        <f t="shared" si="5"/>
        <v>Senior</v>
      </c>
    </row>
    <row r="370" spans="1:10" ht="15.75" customHeight="1" x14ac:dyDescent="0.25">
      <c r="A370">
        <v>1369</v>
      </c>
      <c r="B370">
        <v>52</v>
      </c>
      <c r="C370" t="s">
        <v>4</v>
      </c>
      <c r="D370" t="s">
        <v>5</v>
      </c>
      <c r="E370" t="s">
        <v>26</v>
      </c>
      <c r="F370">
        <v>53645</v>
      </c>
      <c r="G370">
        <v>11</v>
      </c>
      <c r="H370">
        <v>2</v>
      </c>
      <c r="I370" t="s">
        <v>7</v>
      </c>
      <c r="J370" t="str">
        <f t="shared" si="5"/>
        <v>Senior</v>
      </c>
    </row>
    <row r="371" spans="1:10" ht="15.75" customHeight="1" x14ac:dyDescent="0.25">
      <c r="A371">
        <v>1370</v>
      </c>
      <c r="B371">
        <v>53</v>
      </c>
      <c r="C371" t="s">
        <v>10</v>
      </c>
      <c r="D371" t="s">
        <v>16</v>
      </c>
      <c r="E371" t="s">
        <v>25</v>
      </c>
      <c r="F371">
        <v>50615</v>
      </c>
      <c r="G371">
        <v>12</v>
      </c>
      <c r="H371">
        <v>5</v>
      </c>
      <c r="I371" t="s">
        <v>7</v>
      </c>
      <c r="J371" t="str">
        <f t="shared" si="5"/>
        <v>Senior</v>
      </c>
    </row>
    <row r="372" spans="1:10" ht="15.75" customHeight="1" x14ac:dyDescent="0.25">
      <c r="A372">
        <v>1371</v>
      </c>
      <c r="B372">
        <v>35</v>
      </c>
      <c r="C372" t="s">
        <v>4</v>
      </c>
      <c r="D372" t="s">
        <v>5</v>
      </c>
      <c r="E372" t="s">
        <v>26</v>
      </c>
      <c r="F372">
        <v>20352</v>
      </c>
      <c r="G372">
        <v>4</v>
      </c>
      <c r="H372">
        <v>5</v>
      </c>
      <c r="I372" t="s">
        <v>7</v>
      </c>
      <c r="J372" t="str">
        <f t="shared" si="5"/>
        <v>Mid-Level</v>
      </c>
    </row>
    <row r="373" spans="1:10" ht="15.75" customHeight="1" x14ac:dyDescent="0.25">
      <c r="A373">
        <v>1372</v>
      </c>
      <c r="B373">
        <v>50</v>
      </c>
      <c r="C373" t="s">
        <v>4</v>
      </c>
      <c r="D373" t="s">
        <v>5</v>
      </c>
      <c r="E373" t="s">
        <v>20</v>
      </c>
      <c r="F373">
        <v>49329</v>
      </c>
      <c r="G373">
        <v>0</v>
      </c>
      <c r="H373">
        <v>1</v>
      </c>
      <c r="I373" t="s">
        <v>7</v>
      </c>
      <c r="J373" t="str">
        <f t="shared" si="5"/>
        <v>Junior</v>
      </c>
    </row>
    <row r="374" spans="1:10" ht="15.75" customHeight="1" x14ac:dyDescent="0.25">
      <c r="A374">
        <v>1373</v>
      </c>
      <c r="B374">
        <v>44</v>
      </c>
      <c r="C374" t="s">
        <v>4</v>
      </c>
      <c r="D374" t="s">
        <v>5</v>
      </c>
      <c r="E374" t="s">
        <v>6</v>
      </c>
      <c r="F374">
        <v>42010</v>
      </c>
      <c r="G374">
        <v>11</v>
      </c>
      <c r="H374">
        <v>4</v>
      </c>
      <c r="I374" t="s">
        <v>7</v>
      </c>
      <c r="J374" t="str">
        <f t="shared" si="5"/>
        <v>Senior</v>
      </c>
    </row>
    <row r="375" spans="1:10" ht="15.75" customHeight="1" x14ac:dyDescent="0.25">
      <c r="A375">
        <v>1374</v>
      </c>
      <c r="B375">
        <v>35</v>
      </c>
      <c r="C375" t="s">
        <v>4</v>
      </c>
      <c r="D375" t="s">
        <v>21</v>
      </c>
      <c r="E375" t="s">
        <v>24</v>
      </c>
      <c r="F375">
        <v>69756</v>
      </c>
      <c r="G375">
        <v>5</v>
      </c>
      <c r="H375">
        <v>5</v>
      </c>
      <c r="I375" t="s">
        <v>7</v>
      </c>
      <c r="J375" t="str">
        <f t="shared" si="5"/>
        <v>Mid-Level</v>
      </c>
    </row>
    <row r="376" spans="1:10" ht="15.75" customHeight="1" x14ac:dyDescent="0.25">
      <c r="A376">
        <v>1375</v>
      </c>
      <c r="B376">
        <v>42</v>
      </c>
      <c r="C376" t="s">
        <v>4</v>
      </c>
      <c r="D376" t="s">
        <v>16</v>
      </c>
      <c r="E376" t="s">
        <v>25</v>
      </c>
      <c r="F376">
        <v>34639</v>
      </c>
      <c r="G376">
        <v>16</v>
      </c>
      <c r="H376">
        <v>1</v>
      </c>
      <c r="I376" t="s">
        <v>7</v>
      </c>
      <c r="J376" t="str">
        <f t="shared" si="5"/>
        <v>Senior</v>
      </c>
    </row>
    <row r="377" spans="1:10" ht="15.75" customHeight="1" x14ac:dyDescent="0.25">
      <c r="A377">
        <v>1376</v>
      </c>
      <c r="B377">
        <v>58</v>
      </c>
      <c r="C377" t="s">
        <v>4</v>
      </c>
      <c r="D377" t="s">
        <v>5</v>
      </c>
      <c r="E377" t="s">
        <v>26</v>
      </c>
      <c r="F377">
        <v>77578</v>
      </c>
      <c r="G377">
        <v>6</v>
      </c>
      <c r="H377">
        <v>4</v>
      </c>
      <c r="I377" t="s">
        <v>7</v>
      </c>
      <c r="J377" t="str">
        <f t="shared" si="5"/>
        <v>Mid-Level</v>
      </c>
    </row>
    <row r="378" spans="1:10" ht="15.75" customHeight="1" x14ac:dyDescent="0.25">
      <c r="A378">
        <v>1377</v>
      </c>
      <c r="B378">
        <v>37</v>
      </c>
      <c r="C378" t="s">
        <v>10</v>
      </c>
      <c r="D378" t="s">
        <v>5</v>
      </c>
      <c r="E378" t="s">
        <v>20</v>
      </c>
      <c r="F378">
        <v>85033</v>
      </c>
      <c r="G378">
        <v>2</v>
      </c>
      <c r="H378">
        <v>3</v>
      </c>
      <c r="I378" t="s">
        <v>7</v>
      </c>
      <c r="J378" t="str">
        <f t="shared" si="5"/>
        <v>Junior</v>
      </c>
    </row>
    <row r="379" spans="1:10" ht="15.75" customHeight="1" x14ac:dyDescent="0.25">
      <c r="A379">
        <v>1378</v>
      </c>
      <c r="B379">
        <v>24</v>
      </c>
      <c r="C379" t="s">
        <v>4</v>
      </c>
      <c r="D379" t="s">
        <v>8</v>
      </c>
      <c r="E379" t="s">
        <v>13</v>
      </c>
      <c r="F379">
        <v>68097</v>
      </c>
      <c r="G379">
        <v>9</v>
      </c>
      <c r="H379">
        <v>5</v>
      </c>
      <c r="I379" t="s">
        <v>15</v>
      </c>
      <c r="J379" t="str">
        <f t="shared" si="5"/>
        <v>Senior</v>
      </c>
    </row>
    <row r="380" spans="1:10" ht="15.75" customHeight="1" x14ac:dyDescent="0.25">
      <c r="A380">
        <v>1379</v>
      </c>
      <c r="B380">
        <v>30</v>
      </c>
      <c r="C380" t="s">
        <v>4</v>
      </c>
      <c r="D380" t="s">
        <v>5</v>
      </c>
      <c r="E380" t="s">
        <v>20</v>
      </c>
      <c r="F380">
        <v>106200</v>
      </c>
      <c r="G380">
        <v>16</v>
      </c>
      <c r="H380">
        <v>1</v>
      </c>
      <c r="I380" t="s">
        <v>7</v>
      </c>
      <c r="J380" t="str">
        <f t="shared" si="5"/>
        <v>Senior</v>
      </c>
    </row>
    <row r="381" spans="1:10" ht="15.75" customHeight="1" x14ac:dyDescent="0.25">
      <c r="A381">
        <v>1380</v>
      </c>
      <c r="B381">
        <v>47</v>
      </c>
      <c r="C381" t="s">
        <v>10</v>
      </c>
      <c r="D381" t="s">
        <v>21</v>
      </c>
      <c r="E381" t="s">
        <v>22</v>
      </c>
      <c r="F381">
        <v>31462</v>
      </c>
      <c r="G381">
        <v>1</v>
      </c>
      <c r="H381">
        <v>1</v>
      </c>
      <c r="I381" t="s">
        <v>7</v>
      </c>
      <c r="J381" t="str">
        <f t="shared" si="5"/>
        <v>Junior</v>
      </c>
    </row>
    <row r="382" spans="1:10" ht="15.75" customHeight="1" x14ac:dyDescent="0.25">
      <c r="A382">
        <v>1381</v>
      </c>
      <c r="B382">
        <v>45</v>
      </c>
      <c r="C382" t="s">
        <v>4</v>
      </c>
      <c r="D382" t="s">
        <v>11</v>
      </c>
      <c r="E382" t="s">
        <v>14</v>
      </c>
      <c r="F382">
        <v>97591</v>
      </c>
      <c r="G382">
        <v>13</v>
      </c>
      <c r="H382">
        <v>3</v>
      </c>
      <c r="I382" t="s">
        <v>7</v>
      </c>
      <c r="J382" t="str">
        <f t="shared" si="5"/>
        <v>Senior</v>
      </c>
    </row>
    <row r="383" spans="1:10" ht="15.75" customHeight="1" x14ac:dyDescent="0.25">
      <c r="A383">
        <v>1382</v>
      </c>
      <c r="B383">
        <v>38</v>
      </c>
      <c r="C383" t="s">
        <v>4</v>
      </c>
      <c r="D383" t="s">
        <v>11</v>
      </c>
      <c r="E383" t="s">
        <v>12</v>
      </c>
      <c r="F383">
        <v>67436</v>
      </c>
      <c r="G383">
        <v>19</v>
      </c>
      <c r="H383">
        <v>4</v>
      </c>
      <c r="I383" t="s">
        <v>7</v>
      </c>
      <c r="J383" t="str">
        <f t="shared" si="5"/>
        <v>Senior</v>
      </c>
    </row>
    <row r="384" spans="1:10" ht="15.75" customHeight="1" x14ac:dyDescent="0.25">
      <c r="A384">
        <v>1383</v>
      </c>
      <c r="B384">
        <v>49</v>
      </c>
      <c r="C384" t="s">
        <v>4</v>
      </c>
      <c r="D384" t="s">
        <v>11</v>
      </c>
      <c r="E384" t="s">
        <v>12</v>
      </c>
      <c r="F384">
        <v>67674</v>
      </c>
      <c r="G384">
        <v>20</v>
      </c>
      <c r="H384">
        <v>3</v>
      </c>
      <c r="I384" t="s">
        <v>7</v>
      </c>
      <c r="J384" t="str">
        <f t="shared" si="5"/>
        <v>Senior</v>
      </c>
    </row>
    <row r="385" spans="1:10" ht="15.75" customHeight="1" x14ac:dyDescent="0.25">
      <c r="A385">
        <v>1384</v>
      </c>
      <c r="B385">
        <v>55</v>
      </c>
      <c r="C385" t="s">
        <v>10</v>
      </c>
      <c r="D385" t="s">
        <v>11</v>
      </c>
      <c r="E385" t="s">
        <v>12</v>
      </c>
      <c r="F385">
        <v>61750</v>
      </c>
      <c r="G385">
        <v>17</v>
      </c>
      <c r="H385">
        <v>4</v>
      </c>
      <c r="I385" t="s">
        <v>7</v>
      </c>
      <c r="J385" t="str">
        <f t="shared" si="5"/>
        <v>Senior</v>
      </c>
    </row>
    <row r="386" spans="1:10" ht="15.75" customHeight="1" x14ac:dyDescent="0.25">
      <c r="A386">
        <v>1385</v>
      </c>
      <c r="B386">
        <v>50</v>
      </c>
      <c r="C386" t="s">
        <v>4</v>
      </c>
      <c r="D386" t="s">
        <v>11</v>
      </c>
      <c r="E386" t="s">
        <v>14</v>
      </c>
      <c r="F386">
        <v>38987</v>
      </c>
      <c r="G386">
        <v>13</v>
      </c>
      <c r="H386">
        <v>1</v>
      </c>
      <c r="I386" t="s">
        <v>7</v>
      </c>
      <c r="J386" t="str">
        <f t="shared" ref="J386:J449" si="6">IF(G386&lt;3,"Junior",IF(G386&lt;7,"Mid-Level","Senior"))</f>
        <v>Senior</v>
      </c>
    </row>
    <row r="387" spans="1:10" ht="15.75" customHeight="1" x14ac:dyDescent="0.25">
      <c r="A387">
        <v>1386</v>
      </c>
      <c r="B387">
        <v>49</v>
      </c>
      <c r="C387" t="s">
        <v>4</v>
      </c>
      <c r="D387" t="s">
        <v>21</v>
      </c>
      <c r="E387" t="s">
        <v>24</v>
      </c>
      <c r="F387">
        <v>68454</v>
      </c>
      <c r="G387">
        <v>13</v>
      </c>
      <c r="H387">
        <v>1</v>
      </c>
      <c r="I387" t="s">
        <v>7</v>
      </c>
      <c r="J387" t="str">
        <f t="shared" si="6"/>
        <v>Senior</v>
      </c>
    </row>
    <row r="388" spans="1:10" ht="15.75" customHeight="1" x14ac:dyDescent="0.25">
      <c r="A388">
        <v>1387</v>
      </c>
      <c r="B388">
        <v>52</v>
      </c>
      <c r="C388" t="s">
        <v>10</v>
      </c>
      <c r="D388" t="s">
        <v>5</v>
      </c>
      <c r="E388" t="s">
        <v>6</v>
      </c>
      <c r="F388">
        <v>70214</v>
      </c>
      <c r="G388">
        <v>10</v>
      </c>
      <c r="H388">
        <v>3</v>
      </c>
      <c r="I388" t="s">
        <v>15</v>
      </c>
      <c r="J388" t="str">
        <f t="shared" si="6"/>
        <v>Senior</v>
      </c>
    </row>
    <row r="389" spans="1:10" ht="15.75" customHeight="1" x14ac:dyDescent="0.25">
      <c r="A389">
        <v>1388</v>
      </c>
      <c r="B389">
        <v>30</v>
      </c>
      <c r="C389" t="s">
        <v>4</v>
      </c>
      <c r="D389" t="s">
        <v>18</v>
      </c>
      <c r="E389" t="s">
        <v>23</v>
      </c>
      <c r="F389">
        <v>36431</v>
      </c>
      <c r="G389">
        <v>4</v>
      </c>
      <c r="H389">
        <v>2</v>
      </c>
      <c r="I389" t="s">
        <v>7</v>
      </c>
      <c r="J389" t="str">
        <f t="shared" si="6"/>
        <v>Mid-Level</v>
      </c>
    </row>
    <row r="390" spans="1:10" ht="15.75" customHeight="1" x14ac:dyDescent="0.25">
      <c r="A390">
        <v>1389</v>
      </c>
      <c r="B390">
        <v>43</v>
      </c>
      <c r="C390" t="s">
        <v>10</v>
      </c>
      <c r="D390" t="s">
        <v>18</v>
      </c>
      <c r="E390" t="s">
        <v>23</v>
      </c>
      <c r="F390">
        <v>92165</v>
      </c>
      <c r="G390">
        <v>9</v>
      </c>
      <c r="H390">
        <v>4</v>
      </c>
      <c r="I390" t="s">
        <v>7</v>
      </c>
      <c r="J390" t="str">
        <f t="shared" si="6"/>
        <v>Senior</v>
      </c>
    </row>
    <row r="391" spans="1:10" ht="15.75" customHeight="1" x14ac:dyDescent="0.25">
      <c r="A391">
        <v>1390</v>
      </c>
      <c r="B391">
        <v>39</v>
      </c>
      <c r="C391" t="s">
        <v>10</v>
      </c>
      <c r="D391" t="s">
        <v>11</v>
      </c>
      <c r="E391" t="s">
        <v>12</v>
      </c>
      <c r="F391">
        <v>89940</v>
      </c>
      <c r="G391">
        <v>18</v>
      </c>
      <c r="H391">
        <v>3</v>
      </c>
      <c r="I391" t="s">
        <v>7</v>
      </c>
      <c r="J391" t="str">
        <f t="shared" si="6"/>
        <v>Senior</v>
      </c>
    </row>
    <row r="392" spans="1:10" ht="15.75" customHeight="1" x14ac:dyDescent="0.25">
      <c r="A392">
        <v>1391</v>
      </c>
      <c r="B392">
        <v>41</v>
      </c>
      <c r="C392" t="s">
        <v>4</v>
      </c>
      <c r="D392" t="s">
        <v>8</v>
      </c>
      <c r="E392" t="s">
        <v>9</v>
      </c>
      <c r="F392">
        <v>66926</v>
      </c>
      <c r="G392">
        <v>9</v>
      </c>
      <c r="H392">
        <v>1</v>
      </c>
      <c r="I392" t="s">
        <v>7</v>
      </c>
      <c r="J392" t="str">
        <f t="shared" si="6"/>
        <v>Senior</v>
      </c>
    </row>
    <row r="393" spans="1:10" ht="15.75" customHeight="1" x14ac:dyDescent="0.25">
      <c r="A393">
        <v>1392</v>
      </c>
      <c r="B393">
        <v>47</v>
      </c>
      <c r="C393" t="s">
        <v>4</v>
      </c>
      <c r="D393" t="s">
        <v>8</v>
      </c>
      <c r="E393" t="s">
        <v>13</v>
      </c>
      <c r="F393">
        <v>77351</v>
      </c>
      <c r="G393">
        <v>1</v>
      </c>
      <c r="H393">
        <v>5</v>
      </c>
      <c r="I393" t="s">
        <v>15</v>
      </c>
      <c r="J393" t="str">
        <f t="shared" si="6"/>
        <v>Junior</v>
      </c>
    </row>
    <row r="394" spans="1:10" ht="15.75" customHeight="1" x14ac:dyDescent="0.25">
      <c r="A394">
        <v>1393</v>
      </c>
      <c r="B394">
        <v>33</v>
      </c>
      <c r="C394" t="s">
        <v>10</v>
      </c>
      <c r="D394" t="s">
        <v>21</v>
      </c>
      <c r="E394" t="s">
        <v>22</v>
      </c>
      <c r="F394">
        <v>58823</v>
      </c>
      <c r="G394">
        <v>10</v>
      </c>
      <c r="H394">
        <v>1</v>
      </c>
      <c r="I394" t="s">
        <v>7</v>
      </c>
      <c r="J394" t="str">
        <f t="shared" si="6"/>
        <v>Senior</v>
      </c>
    </row>
    <row r="395" spans="1:10" ht="15.75" customHeight="1" x14ac:dyDescent="0.25">
      <c r="A395">
        <v>1394</v>
      </c>
      <c r="B395">
        <v>38</v>
      </c>
      <c r="C395" t="s">
        <v>10</v>
      </c>
      <c r="D395" t="s">
        <v>5</v>
      </c>
      <c r="E395" t="s">
        <v>20</v>
      </c>
      <c r="F395">
        <v>106723</v>
      </c>
      <c r="G395">
        <v>18</v>
      </c>
      <c r="H395">
        <v>3</v>
      </c>
      <c r="I395" t="s">
        <v>7</v>
      </c>
      <c r="J395" t="str">
        <f t="shared" si="6"/>
        <v>Senior</v>
      </c>
    </row>
    <row r="396" spans="1:10" ht="15.75" customHeight="1" x14ac:dyDescent="0.25">
      <c r="A396">
        <v>1395</v>
      </c>
      <c r="B396">
        <v>43</v>
      </c>
      <c r="C396" t="s">
        <v>4</v>
      </c>
      <c r="D396" t="s">
        <v>16</v>
      </c>
      <c r="E396" t="s">
        <v>17</v>
      </c>
      <c r="F396">
        <v>21350</v>
      </c>
      <c r="G396">
        <v>17</v>
      </c>
      <c r="H396">
        <v>5</v>
      </c>
      <c r="I396" t="s">
        <v>7</v>
      </c>
      <c r="J396" t="str">
        <f t="shared" si="6"/>
        <v>Senior</v>
      </c>
    </row>
    <row r="397" spans="1:10" ht="15.75" customHeight="1" x14ac:dyDescent="0.25">
      <c r="A397">
        <v>1396</v>
      </c>
      <c r="B397">
        <v>32</v>
      </c>
      <c r="C397" t="s">
        <v>10</v>
      </c>
      <c r="D397" t="s">
        <v>5</v>
      </c>
      <c r="E397" t="s">
        <v>26</v>
      </c>
      <c r="F397">
        <v>78848</v>
      </c>
      <c r="G397">
        <v>20</v>
      </c>
      <c r="H397">
        <v>1</v>
      </c>
      <c r="I397" t="s">
        <v>15</v>
      </c>
      <c r="J397" t="str">
        <f t="shared" si="6"/>
        <v>Senior</v>
      </c>
    </row>
    <row r="398" spans="1:10" ht="15.75" customHeight="1" x14ac:dyDescent="0.25">
      <c r="A398">
        <v>1397</v>
      </c>
      <c r="B398">
        <v>41</v>
      </c>
      <c r="C398" t="s">
        <v>4</v>
      </c>
      <c r="D398" t="s">
        <v>5</v>
      </c>
      <c r="E398" t="s">
        <v>20</v>
      </c>
      <c r="F398">
        <v>108048</v>
      </c>
      <c r="G398">
        <v>4</v>
      </c>
      <c r="H398">
        <v>2</v>
      </c>
      <c r="I398" t="s">
        <v>7</v>
      </c>
      <c r="J398" t="str">
        <f t="shared" si="6"/>
        <v>Mid-Level</v>
      </c>
    </row>
    <row r="399" spans="1:10" ht="15.75" customHeight="1" x14ac:dyDescent="0.25">
      <c r="A399">
        <v>1398</v>
      </c>
      <c r="B399">
        <v>53</v>
      </c>
      <c r="C399" t="s">
        <v>10</v>
      </c>
      <c r="D399" t="s">
        <v>16</v>
      </c>
      <c r="E399" t="s">
        <v>17</v>
      </c>
      <c r="F399">
        <v>68751</v>
      </c>
      <c r="G399">
        <v>8</v>
      </c>
      <c r="H399">
        <v>5</v>
      </c>
      <c r="I399" t="s">
        <v>7</v>
      </c>
      <c r="J399" t="str">
        <f t="shared" si="6"/>
        <v>Senior</v>
      </c>
    </row>
    <row r="400" spans="1:10" ht="15.75" customHeight="1" x14ac:dyDescent="0.25">
      <c r="A400">
        <v>1399</v>
      </c>
      <c r="B400">
        <v>30</v>
      </c>
      <c r="C400" t="s">
        <v>10</v>
      </c>
      <c r="D400" t="s">
        <v>8</v>
      </c>
      <c r="E400" t="s">
        <v>13</v>
      </c>
      <c r="F400">
        <v>83008</v>
      </c>
      <c r="G400">
        <v>9</v>
      </c>
      <c r="H400">
        <v>5</v>
      </c>
      <c r="I400" t="s">
        <v>15</v>
      </c>
      <c r="J400" t="str">
        <f t="shared" si="6"/>
        <v>Senior</v>
      </c>
    </row>
    <row r="401" spans="1:10" ht="15.75" customHeight="1" x14ac:dyDescent="0.25">
      <c r="A401">
        <v>1400</v>
      </c>
      <c r="B401">
        <v>38</v>
      </c>
      <c r="C401" t="s">
        <v>4</v>
      </c>
      <c r="D401" t="s">
        <v>21</v>
      </c>
      <c r="E401" t="s">
        <v>24</v>
      </c>
      <c r="F401">
        <v>70376</v>
      </c>
      <c r="G401">
        <v>5</v>
      </c>
      <c r="H401">
        <v>1</v>
      </c>
      <c r="I401" t="s">
        <v>7</v>
      </c>
      <c r="J401" t="str">
        <f t="shared" si="6"/>
        <v>Mid-Level</v>
      </c>
    </row>
    <row r="402" spans="1:10" ht="15.75" customHeight="1" x14ac:dyDescent="0.25">
      <c r="A402">
        <v>1401</v>
      </c>
      <c r="B402">
        <v>52</v>
      </c>
      <c r="C402" t="s">
        <v>10</v>
      </c>
      <c r="D402" t="s">
        <v>11</v>
      </c>
      <c r="E402" t="s">
        <v>14</v>
      </c>
      <c r="F402">
        <v>60380</v>
      </c>
      <c r="G402">
        <v>0</v>
      </c>
      <c r="H402">
        <v>5</v>
      </c>
      <c r="I402" t="s">
        <v>7</v>
      </c>
      <c r="J402" t="str">
        <f t="shared" si="6"/>
        <v>Junior</v>
      </c>
    </row>
    <row r="403" spans="1:10" ht="15.75" customHeight="1" x14ac:dyDescent="0.25">
      <c r="A403">
        <v>1402</v>
      </c>
      <c r="B403">
        <v>39</v>
      </c>
      <c r="C403" t="s">
        <v>4</v>
      </c>
      <c r="D403" t="s">
        <v>18</v>
      </c>
      <c r="E403" t="s">
        <v>23</v>
      </c>
      <c r="F403">
        <v>58232</v>
      </c>
      <c r="G403">
        <v>14</v>
      </c>
      <c r="H403">
        <v>3</v>
      </c>
      <c r="I403" t="s">
        <v>7</v>
      </c>
      <c r="J403" t="str">
        <f t="shared" si="6"/>
        <v>Senior</v>
      </c>
    </row>
    <row r="404" spans="1:10" ht="15.75" customHeight="1" x14ac:dyDescent="0.25">
      <c r="A404">
        <v>1403</v>
      </c>
      <c r="B404">
        <v>46</v>
      </c>
      <c r="C404" t="s">
        <v>10</v>
      </c>
      <c r="D404" t="s">
        <v>11</v>
      </c>
      <c r="E404" t="s">
        <v>14</v>
      </c>
      <c r="F404">
        <v>47392</v>
      </c>
      <c r="G404">
        <v>1</v>
      </c>
      <c r="H404">
        <v>1</v>
      </c>
      <c r="I404" t="s">
        <v>7</v>
      </c>
      <c r="J404" t="str">
        <f t="shared" si="6"/>
        <v>Junior</v>
      </c>
    </row>
    <row r="405" spans="1:10" ht="15.75" customHeight="1" x14ac:dyDescent="0.25">
      <c r="A405">
        <v>1404</v>
      </c>
      <c r="B405">
        <v>39</v>
      </c>
      <c r="C405" t="s">
        <v>10</v>
      </c>
      <c r="D405" t="s">
        <v>21</v>
      </c>
      <c r="E405" t="s">
        <v>24</v>
      </c>
      <c r="F405">
        <v>46029</v>
      </c>
      <c r="G405">
        <v>15</v>
      </c>
      <c r="H405">
        <v>4</v>
      </c>
      <c r="I405" t="s">
        <v>7</v>
      </c>
      <c r="J405" t="str">
        <f t="shared" si="6"/>
        <v>Senior</v>
      </c>
    </row>
    <row r="406" spans="1:10" ht="15.75" customHeight="1" x14ac:dyDescent="0.25">
      <c r="A406">
        <v>1405</v>
      </c>
      <c r="B406">
        <v>35</v>
      </c>
      <c r="C406" t="s">
        <v>10</v>
      </c>
      <c r="D406" t="s">
        <v>8</v>
      </c>
      <c r="E406" t="s">
        <v>13</v>
      </c>
      <c r="F406">
        <v>48772</v>
      </c>
      <c r="G406">
        <v>12</v>
      </c>
      <c r="H406">
        <v>1</v>
      </c>
      <c r="I406" t="s">
        <v>7</v>
      </c>
      <c r="J406" t="str">
        <f t="shared" si="6"/>
        <v>Senior</v>
      </c>
    </row>
    <row r="407" spans="1:10" ht="15.75" customHeight="1" x14ac:dyDescent="0.25">
      <c r="A407">
        <v>1406</v>
      </c>
      <c r="B407">
        <v>52</v>
      </c>
      <c r="C407" t="s">
        <v>4</v>
      </c>
      <c r="D407" t="s">
        <v>5</v>
      </c>
      <c r="E407" t="s">
        <v>20</v>
      </c>
      <c r="F407">
        <v>23237</v>
      </c>
      <c r="G407">
        <v>18</v>
      </c>
      <c r="H407">
        <v>2</v>
      </c>
      <c r="I407" t="s">
        <v>7</v>
      </c>
      <c r="J407" t="str">
        <f t="shared" si="6"/>
        <v>Senior</v>
      </c>
    </row>
    <row r="408" spans="1:10" ht="15.75" customHeight="1" x14ac:dyDescent="0.25">
      <c r="A408">
        <v>1407</v>
      </c>
      <c r="B408">
        <v>38</v>
      </c>
      <c r="C408" t="s">
        <v>10</v>
      </c>
      <c r="D408" t="s">
        <v>16</v>
      </c>
      <c r="E408" t="s">
        <v>17</v>
      </c>
      <c r="F408">
        <v>103547</v>
      </c>
      <c r="G408">
        <v>16</v>
      </c>
      <c r="H408">
        <v>2</v>
      </c>
      <c r="I408" t="s">
        <v>7</v>
      </c>
      <c r="J408" t="str">
        <f t="shared" si="6"/>
        <v>Senior</v>
      </c>
    </row>
    <row r="409" spans="1:10" ht="15.75" customHeight="1" x14ac:dyDescent="0.25">
      <c r="A409">
        <v>1408</v>
      </c>
      <c r="B409">
        <v>42</v>
      </c>
      <c r="C409" t="s">
        <v>10</v>
      </c>
      <c r="D409" t="s">
        <v>21</v>
      </c>
      <c r="E409" t="s">
        <v>24</v>
      </c>
      <c r="F409">
        <v>40102</v>
      </c>
      <c r="G409">
        <v>10</v>
      </c>
      <c r="H409">
        <v>1</v>
      </c>
      <c r="I409" t="s">
        <v>15</v>
      </c>
      <c r="J409" t="str">
        <f t="shared" si="6"/>
        <v>Senior</v>
      </c>
    </row>
    <row r="410" spans="1:10" ht="15.75" customHeight="1" x14ac:dyDescent="0.25">
      <c r="A410">
        <v>1409</v>
      </c>
      <c r="B410">
        <v>50</v>
      </c>
      <c r="C410" t="s">
        <v>10</v>
      </c>
      <c r="D410" t="s">
        <v>11</v>
      </c>
      <c r="E410" t="s">
        <v>12</v>
      </c>
      <c r="F410">
        <v>98821</v>
      </c>
      <c r="G410">
        <v>8</v>
      </c>
      <c r="H410">
        <v>3</v>
      </c>
      <c r="I410" t="s">
        <v>7</v>
      </c>
      <c r="J410" t="str">
        <f t="shared" si="6"/>
        <v>Senior</v>
      </c>
    </row>
    <row r="411" spans="1:10" ht="15.75" customHeight="1" x14ac:dyDescent="0.25">
      <c r="A411">
        <v>1410</v>
      </c>
      <c r="B411">
        <v>54</v>
      </c>
      <c r="C411" t="s">
        <v>10</v>
      </c>
      <c r="D411" t="s">
        <v>11</v>
      </c>
      <c r="E411" t="s">
        <v>12</v>
      </c>
      <c r="F411">
        <v>90391</v>
      </c>
      <c r="G411">
        <v>18</v>
      </c>
      <c r="H411">
        <v>2</v>
      </c>
      <c r="I411" t="s">
        <v>7</v>
      </c>
      <c r="J411" t="str">
        <f t="shared" si="6"/>
        <v>Senior</v>
      </c>
    </row>
    <row r="412" spans="1:10" ht="15.75" customHeight="1" x14ac:dyDescent="0.25">
      <c r="A412">
        <v>1411</v>
      </c>
      <c r="B412">
        <v>55</v>
      </c>
      <c r="C412" t="s">
        <v>10</v>
      </c>
      <c r="D412" t="s">
        <v>16</v>
      </c>
      <c r="E412" t="s">
        <v>17</v>
      </c>
      <c r="F412">
        <v>68809</v>
      </c>
      <c r="G412">
        <v>18</v>
      </c>
      <c r="H412">
        <v>2</v>
      </c>
      <c r="I412" t="s">
        <v>7</v>
      </c>
      <c r="J412" t="str">
        <f t="shared" si="6"/>
        <v>Senior</v>
      </c>
    </row>
    <row r="413" spans="1:10" ht="15.75" customHeight="1" x14ac:dyDescent="0.25">
      <c r="A413">
        <v>1412</v>
      </c>
      <c r="B413">
        <v>53</v>
      </c>
      <c r="C413" t="s">
        <v>4</v>
      </c>
      <c r="D413" t="s">
        <v>11</v>
      </c>
      <c r="E413" t="s">
        <v>12</v>
      </c>
      <c r="F413">
        <v>69376</v>
      </c>
      <c r="G413">
        <v>6</v>
      </c>
      <c r="H413">
        <v>1</v>
      </c>
      <c r="I413" t="s">
        <v>7</v>
      </c>
      <c r="J413" t="str">
        <f t="shared" si="6"/>
        <v>Mid-Level</v>
      </c>
    </row>
    <row r="414" spans="1:10" ht="15.75" customHeight="1" x14ac:dyDescent="0.25">
      <c r="A414">
        <v>1413</v>
      </c>
      <c r="B414">
        <v>25</v>
      </c>
      <c r="C414" t="s">
        <v>4</v>
      </c>
      <c r="D414" t="s">
        <v>21</v>
      </c>
      <c r="E414" t="s">
        <v>22</v>
      </c>
      <c r="F414">
        <v>70951</v>
      </c>
      <c r="G414">
        <v>6</v>
      </c>
      <c r="H414">
        <v>1</v>
      </c>
      <c r="I414" t="s">
        <v>15</v>
      </c>
      <c r="J414" t="str">
        <f t="shared" si="6"/>
        <v>Mid-Level</v>
      </c>
    </row>
    <row r="415" spans="1:10" ht="15.75" customHeight="1" x14ac:dyDescent="0.25">
      <c r="A415">
        <v>1414</v>
      </c>
      <c r="B415">
        <v>38</v>
      </c>
      <c r="C415" t="s">
        <v>10</v>
      </c>
      <c r="D415" t="s">
        <v>11</v>
      </c>
      <c r="E415" t="s">
        <v>12</v>
      </c>
      <c r="F415">
        <v>100266</v>
      </c>
      <c r="G415">
        <v>18</v>
      </c>
      <c r="H415">
        <v>5</v>
      </c>
      <c r="I415" t="s">
        <v>7</v>
      </c>
      <c r="J415" t="str">
        <f t="shared" si="6"/>
        <v>Senior</v>
      </c>
    </row>
    <row r="416" spans="1:10" ht="15.75" customHeight="1" x14ac:dyDescent="0.25">
      <c r="A416">
        <v>1415</v>
      </c>
      <c r="B416">
        <v>26</v>
      </c>
      <c r="C416" t="s">
        <v>4</v>
      </c>
      <c r="D416" t="s">
        <v>18</v>
      </c>
      <c r="E416" t="s">
        <v>19</v>
      </c>
      <c r="F416">
        <v>92409</v>
      </c>
      <c r="G416">
        <v>2</v>
      </c>
      <c r="H416">
        <v>5</v>
      </c>
      <c r="I416" t="s">
        <v>15</v>
      </c>
      <c r="J416" t="str">
        <f t="shared" si="6"/>
        <v>Junior</v>
      </c>
    </row>
    <row r="417" spans="1:10" ht="15.75" customHeight="1" x14ac:dyDescent="0.25">
      <c r="A417">
        <v>1416</v>
      </c>
      <c r="B417">
        <v>42</v>
      </c>
      <c r="C417" t="s">
        <v>10</v>
      </c>
      <c r="D417" t="s">
        <v>5</v>
      </c>
      <c r="E417" t="s">
        <v>26</v>
      </c>
      <c r="F417">
        <v>112095</v>
      </c>
      <c r="G417">
        <v>20</v>
      </c>
      <c r="H417">
        <v>5</v>
      </c>
      <c r="I417" t="s">
        <v>15</v>
      </c>
      <c r="J417" t="str">
        <f t="shared" si="6"/>
        <v>Senior</v>
      </c>
    </row>
    <row r="418" spans="1:10" ht="15.75" customHeight="1" x14ac:dyDescent="0.25">
      <c r="A418">
        <v>1417</v>
      </c>
      <c r="B418">
        <v>38</v>
      </c>
      <c r="C418" t="s">
        <v>4</v>
      </c>
      <c r="D418" t="s">
        <v>8</v>
      </c>
      <c r="E418" t="s">
        <v>13</v>
      </c>
      <c r="F418">
        <v>119804</v>
      </c>
      <c r="G418">
        <v>20</v>
      </c>
      <c r="H418">
        <v>1</v>
      </c>
      <c r="I418" t="s">
        <v>7</v>
      </c>
      <c r="J418" t="str">
        <f t="shared" si="6"/>
        <v>Senior</v>
      </c>
    </row>
    <row r="419" spans="1:10" ht="15.75" customHeight="1" x14ac:dyDescent="0.25">
      <c r="A419">
        <v>1418</v>
      </c>
      <c r="B419">
        <v>31</v>
      </c>
      <c r="C419" t="s">
        <v>4</v>
      </c>
      <c r="D419" t="s">
        <v>8</v>
      </c>
      <c r="E419" t="s">
        <v>13</v>
      </c>
      <c r="F419">
        <v>33360</v>
      </c>
      <c r="G419">
        <v>3</v>
      </c>
      <c r="H419">
        <v>5</v>
      </c>
      <c r="I419" t="s">
        <v>7</v>
      </c>
      <c r="J419" t="str">
        <f t="shared" si="6"/>
        <v>Mid-Level</v>
      </c>
    </row>
    <row r="420" spans="1:10" ht="15.75" customHeight="1" x14ac:dyDescent="0.25">
      <c r="A420">
        <v>1419</v>
      </c>
      <c r="B420">
        <v>53</v>
      </c>
      <c r="C420" t="s">
        <v>4</v>
      </c>
      <c r="D420" t="s">
        <v>21</v>
      </c>
      <c r="E420" t="s">
        <v>24</v>
      </c>
      <c r="F420">
        <v>92591</v>
      </c>
      <c r="G420">
        <v>0</v>
      </c>
      <c r="H420">
        <v>3</v>
      </c>
      <c r="I420" t="s">
        <v>7</v>
      </c>
      <c r="J420" t="str">
        <f t="shared" si="6"/>
        <v>Junior</v>
      </c>
    </row>
    <row r="421" spans="1:10" ht="15.75" customHeight="1" x14ac:dyDescent="0.25">
      <c r="A421">
        <v>1420</v>
      </c>
      <c r="B421">
        <v>47</v>
      </c>
      <c r="C421" t="s">
        <v>10</v>
      </c>
      <c r="D421" t="s">
        <v>11</v>
      </c>
      <c r="E421" t="s">
        <v>12</v>
      </c>
      <c r="F421">
        <v>96691</v>
      </c>
      <c r="G421">
        <v>6</v>
      </c>
      <c r="H421">
        <v>4</v>
      </c>
      <c r="I421" t="s">
        <v>7</v>
      </c>
      <c r="J421" t="str">
        <f t="shared" si="6"/>
        <v>Mid-Level</v>
      </c>
    </row>
    <row r="422" spans="1:10" ht="15.75" customHeight="1" x14ac:dyDescent="0.25">
      <c r="A422">
        <v>1421</v>
      </c>
      <c r="B422">
        <v>34</v>
      </c>
      <c r="C422" t="s">
        <v>10</v>
      </c>
      <c r="D422" t="s">
        <v>21</v>
      </c>
      <c r="E422" t="s">
        <v>22</v>
      </c>
      <c r="F422">
        <v>100008</v>
      </c>
      <c r="G422">
        <v>13</v>
      </c>
      <c r="H422">
        <v>5</v>
      </c>
      <c r="I422" t="s">
        <v>7</v>
      </c>
      <c r="J422" t="str">
        <f t="shared" si="6"/>
        <v>Senior</v>
      </c>
    </row>
    <row r="423" spans="1:10" ht="15.75" customHeight="1" x14ac:dyDescent="0.25">
      <c r="A423">
        <v>1422</v>
      </c>
      <c r="B423">
        <v>41</v>
      </c>
      <c r="C423" t="s">
        <v>10</v>
      </c>
      <c r="D423" t="s">
        <v>11</v>
      </c>
      <c r="E423" t="s">
        <v>14</v>
      </c>
      <c r="F423">
        <v>72567</v>
      </c>
      <c r="G423">
        <v>10</v>
      </c>
      <c r="H423">
        <v>1</v>
      </c>
      <c r="I423" t="s">
        <v>7</v>
      </c>
      <c r="J423" t="str">
        <f t="shared" si="6"/>
        <v>Senior</v>
      </c>
    </row>
    <row r="424" spans="1:10" ht="15.75" customHeight="1" x14ac:dyDescent="0.25">
      <c r="A424">
        <v>1423</v>
      </c>
      <c r="B424">
        <v>46</v>
      </c>
      <c r="C424" t="s">
        <v>10</v>
      </c>
      <c r="D424" t="s">
        <v>8</v>
      </c>
      <c r="E424" t="s">
        <v>13</v>
      </c>
      <c r="F424">
        <v>63861</v>
      </c>
      <c r="G424">
        <v>8</v>
      </c>
      <c r="H424">
        <v>2</v>
      </c>
      <c r="I424" t="s">
        <v>7</v>
      </c>
      <c r="J424" t="str">
        <f t="shared" si="6"/>
        <v>Senior</v>
      </c>
    </row>
    <row r="425" spans="1:10" ht="15.75" customHeight="1" x14ac:dyDescent="0.25">
      <c r="A425">
        <v>1424</v>
      </c>
      <c r="B425">
        <v>38</v>
      </c>
      <c r="C425" t="s">
        <v>4</v>
      </c>
      <c r="D425" t="s">
        <v>16</v>
      </c>
      <c r="E425" t="s">
        <v>17</v>
      </c>
      <c r="F425">
        <v>20150</v>
      </c>
      <c r="G425">
        <v>1</v>
      </c>
      <c r="H425">
        <v>2</v>
      </c>
      <c r="I425" t="s">
        <v>7</v>
      </c>
      <c r="J425" t="str">
        <f t="shared" si="6"/>
        <v>Junior</v>
      </c>
    </row>
    <row r="426" spans="1:10" ht="15.75" customHeight="1" x14ac:dyDescent="0.25">
      <c r="A426">
        <v>1425</v>
      </c>
      <c r="B426">
        <v>29</v>
      </c>
      <c r="C426" t="s">
        <v>10</v>
      </c>
      <c r="D426" t="s">
        <v>8</v>
      </c>
      <c r="E426" t="s">
        <v>13</v>
      </c>
      <c r="F426">
        <v>58242</v>
      </c>
      <c r="G426">
        <v>14</v>
      </c>
      <c r="H426">
        <v>1</v>
      </c>
      <c r="I426" t="s">
        <v>7</v>
      </c>
      <c r="J426" t="str">
        <f t="shared" si="6"/>
        <v>Senior</v>
      </c>
    </row>
    <row r="427" spans="1:10" ht="15.75" customHeight="1" x14ac:dyDescent="0.25">
      <c r="A427">
        <v>1426</v>
      </c>
      <c r="B427">
        <v>31</v>
      </c>
      <c r="C427" t="s">
        <v>4</v>
      </c>
      <c r="D427" t="s">
        <v>18</v>
      </c>
      <c r="E427" t="s">
        <v>23</v>
      </c>
      <c r="F427">
        <v>117440</v>
      </c>
      <c r="G427">
        <v>3</v>
      </c>
      <c r="H427">
        <v>2</v>
      </c>
      <c r="I427" t="s">
        <v>7</v>
      </c>
      <c r="J427" t="str">
        <f t="shared" si="6"/>
        <v>Mid-Level</v>
      </c>
    </row>
    <row r="428" spans="1:10" ht="15.75" customHeight="1" x14ac:dyDescent="0.25">
      <c r="A428">
        <v>1427</v>
      </c>
      <c r="B428">
        <v>25</v>
      </c>
      <c r="C428" t="s">
        <v>10</v>
      </c>
      <c r="D428" t="s">
        <v>18</v>
      </c>
      <c r="E428" t="s">
        <v>23</v>
      </c>
      <c r="F428">
        <v>43200</v>
      </c>
      <c r="G428">
        <v>0</v>
      </c>
      <c r="H428">
        <v>5</v>
      </c>
      <c r="I428" t="s">
        <v>7</v>
      </c>
      <c r="J428" t="str">
        <f t="shared" si="6"/>
        <v>Junior</v>
      </c>
    </row>
    <row r="429" spans="1:10" ht="15.75" customHeight="1" x14ac:dyDescent="0.25">
      <c r="A429">
        <v>1428</v>
      </c>
      <c r="B429">
        <v>57</v>
      </c>
      <c r="C429" t="s">
        <v>10</v>
      </c>
      <c r="D429" t="s">
        <v>11</v>
      </c>
      <c r="E429" t="s">
        <v>14</v>
      </c>
      <c r="F429">
        <v>55698</v>
      </c>
      <c r="G429">
        <v>17</v>
      </c>
      <c r="H429">
        <v>5</v>
      </c>
      <c r="I429" t="s">
        <v>15</v>
      </c>
      <c r="J429" t="str">
        <f t="shared" si="6"/>
        <v>Senior</v>
      </c>
    </row>
    <row r="430" spans="1:10" ht="15.75" customHeight="1" x14ac:dyDescent="0.25">
      <c r="A430">
        <v>1429</v>
      </c>
      <c r="B430">
        <v>35</v>
      </c>
      <c r="C430" t="s">
        <v>4</v>
      </c>
      <c r="D430" t="s">
        <v>18</v>
      </c>
      <c r="E430" t="s">
        <v>19</v>
      </c>
      <c r="F430">
        <v>30213</v>
      </c>
      <c r="G430">
        <v>6</v>
      </c>
      <c r="H430">
        <v>4</v>
      </c>
      <c r="I430" t="s">
        <v>7</v>
      </c>
      <c r="J430" t="str">
        <f t="shared" si="6"/>
        <v>Mid-Level</v>
      </c>
    </row>
    <row r="431" spans="1:10" ht="15.75" customHeight="1" x14ac:dyDescent="0.25">
      <c r="A431">
        <v>1430</v>
      </c>
      <c r="B431">
        <v>24</v>
      </c>
      <c r="C431" t="s">
        <v>4</v>
      </c>
      <c r="D431" t="s">
        <v>11</v>
      </c>
      <c r="E431" t="s">
        <v>12</v>
      </c>
      <c r="F431">
        <v>75504</v>
      </c>
      <c r="G431">
        <v>11</v>
      </c>
      <c r="H431">
        <v>3</v>
      </c>
      <c r="I431" t="s">
        <v>15</v>
      </c>
      <c r="J431" t="str">
        <f t="shared" si="6"/>
        <v>Senior</v>
      </c>
    </row>
    <row r="432" spans="1:10" ht="15.75" customHeight="1" x14ac:dyDescent="0.25">
      <c r="A432">
        <v>1431</v>
      </c>
      <c r="B432">
        <v>52</v>
      </c>
      <c r="C432" t="s">
        <v>10</v>
      </c>
      <c r="D432" t="s">
        <v>21</v>
      </c>
      <c r="E432" t="s">
        <v>22</v>
      </c>
      <c r="F432">
        <v>67448</v>
      </c>
      <c r="G432">
        <v>9</v>
      </c>
      <c r="H432">
        <v>2</v>
      </c>
      <c r="I432" t="s">
        <v>7</v>
      </c>
      <c r="J432" t="str">
        <f t="shared" si="6"/>
        <v>Senior</v>
      </c>
    </row>
    <row r="433" spans="1:10" ht="15.75" customHeight="1" x14ac:dyDescent="0.25">
      <c r="A433">
        <v>1432</v>
      </c>
      <c r="B433">
        <v>29</v>
      </c>
      <c r="C433" t="s">
        <v>10</v>
      </c>
      <c r="D433" t="s">
        <v>21</v>
      </c>
      <c r="E433" t="s">
        <v>24</v>
      </c>
      <c r="F433">
        <v>97149</v>
      </c>
      <c r="G433">
        <v>3</v>
      </c>
      <c r="H433">
        <v>2</v>
      </c>
      <c r="I433" t="s">
        <v>15</v>
      </c>
      <c r="J433" t="str">
        <f t="shared" si="6"/>
        <v>Mid-Level</v>
      </c>
    </row>
    <row r="434" spans="1:10" ht="15.75" customHeight="1" x14ac:dyDescent="0.25">
      <c r="A434">
        <v>1433</v>
      </c>
      <c r="B434">
        <v>24</v>
      </c>
      <c r="C434" t="s">
        <v>4</v>
      </c>
      <c r="D434" t="s">
        <v>8</v>
      </c>
      <c r="E434" t="s">
        <v>13</v>
      </c>
      <c r="F434">
        <v>50898</v>
      </c>
      <c r="G434">
        <v>10</v>
      </c>
      <c r="H434">
        <v>5</v>
      </c>
      <c r="I434" t="s">
        <v>7</v>
      </c>
      <c r="J434" t="str">
        <f t="shared" si="6"/>
        <v>Senior</v>
      </c>
    </row>
    <row r="435" spans="1:10" ht="15.75" customHeight="1" x14ac:dyDescent="0.25">
      <c r="A435">
        <v>1434</v>
      </c>
      <c r="B435">
        <v>36</v>
      </c>
      <c r="C435" t="s">
        <v>4</v>
      </c>
      <c r="D435" t="s">
        <v>5</v>
      </c>
      <c r="E435" t="s">
        <v>20</v>
      </c>
      <c r="F435">
        <v>116445</v>
      </c>
      <c r="G435">
        <v>2</v>
      </c>
      <c r="H435">
        <v>5</v>
      </c>
      <c r="I435" t="s">
        <v>7</v>
      </c>
      <c r="J435" t="str">
        <f t="shared" si="6"/>
        <v>Junior</v>
      </c>
    </row>
    <row r="436" spans="1:10" ht="15.75" customHeight="1" x14ac:dyDescent="0.25">
      <c r="A436">
        <v>1435</v>
      </c>
      <c r="B436">
        <v>52</v>
      </c>
      <c r="C436" t="s">
        <v>4</v>
      </c>
      <c r="D436" t="s">
        <v>8</v>
      </c>
      <c r="E436" t="s">
        <v>13</v>
      </c>
      <c r="F436">
        <v>74318</v>
      </c>
      <c r="G436">
        <v>18</v>
      </c>
      <c r="H436">
        <v>3</v>
      </c>
      <c r="I436" t="s">
        <v>7</v>
      </c>
      <c r="J436" t="str">
        <f t="shared" si="6"/>
        <v>Senior</v>
      </c>
    </row>
    <row r="437" spans="1:10" ht="15.75" customHeight="1" x14ac:dyDescent="0.25">
      <c r="A437">
        <v>1436</v>
      </c>
      <c r="B437">
        <v>22</v>
      </c>
      <c r="C437" t="s">
        <v>10</v>
      </c>
      <c r="D437" t="s">
        <v>18</v>
      </c>
      <c r="E437" t="s">
        <v>19</v>
      </c>
      <c r="F437">
        <v>80932</v>
      </c>
      <c r="G437">
        <v>15</v>
      </c>
      <c r="H437">
        <v>5</v>
      </c>
      <c r="I437" t="s">
        <v>7</v>
      </c>
      <c r="J437" t="str">
        <f t="shared" si="6"/>
        <v>Senior</v>
      </c>
    </row>
    <row r="438" spans="1:10" ht="15.75" customHeight="1" x14ac:dyDescent="0.25">
      <c r="A438">
        <v>1437</v>
      </c>
      <c r="B438">
        <v>26</v>
      </c>
      <c r="C438" t="s">
        <v>10</v>
      </c>
      <c r="D438" t="s">
        <v>5</v>
      </c>
      <c r="E438" t="s">
        <v>20</v>
      </c>
      <c r="F438">
        <v>40916</v>
      </c>
      <c r="G438">
        <v>15</v>
      </c>
      <c r="H438">
        <v>5</v>
      </c>
      <c r="I438" t="s">
        <v>7</v>
      </c>
      <c r="J438" t="str">
        <f t="shared" si="6"/>
        <v>Senior</v>
      </c>
    </row>
    <row r="439" spans="1:10" ht="15.75" customHeight="1" x14ac:dyDescent="0.25">
      <c r="A439">
        <v>1438</v>
      </c>
      <c r="B439">
        <v>32</v>
      </c>
      <c r="C439" t="s">
        <v>4</v>
      </c>
      <c r="D439" t="s">
        <v>18</v>
      </c>
      <c r="E439" t="s">
        <v>19</v>
      </c>
      <c r="F439">
        <v>84313</v>
      </c>
      <c r="G439">
        <v>0</v>
      </c>
      <c r="H439">
        <v>3</v>
      </c>
      <c r="I439" t="s">
        <v>7</v>
      </c>
      <c r="J439" t="str">
        <f t="shared" si="6"/>
        <v>Junior</v>
      </c>
    </row>
    <row r="440" spans="1:10" ht="15.75" customHeight="1" x14ac:dyDescent="0.25">
      <c r="A440">
        <v>1439</v>
      </c>
      <c r="B440">
        <v>25</v>
      </c>
      <c r="C440" t="s">
        <v>10</v>
      </c>
      <c r="D440" t="s">
        <v>18</v>
      </c>
      <c r="E440" t="s">
        <v>23</v>
      </c>
      <c r="F440">
        <v>74128</v>
      </c>
      <c r="G440">
        <v>9</v>
      </c>
      <c r="H440">
        <v>2</v>
      </c>
      <c r="I440" t="s">
        <v>7</v>
      </c>
      <c r="J440" t="str">
        <f t="shared" si="6"/>
        <v>Senior</v>
      </c>
    </row>
    <row r="441" spans="1:10" ht="15.75" customHeight="1" x14ac:dyDescent="0.25">
      <c r="A441">
        <v>1440</v>
      </c>
      <c r="B441">
        <v>24</v>
      </c>
      <c r="C441" t="s">
        <v>10</v>
      </c>
      <c r="D441" t="s">
        <v>5</v>
      </c>
      <c r="E441" t="s">
        <v>26</v>
      </c>
      <c r="F441">
        <v>50094</v>
      </c>
      <c r="G441">
        <v>4</v>
      </c>
      <c r="H441">
        <v>3</v>
      </c>
      <c r="I441" t="s">
        <v>15</v>
      </c>
      <c r="J441" t="str">
        <f t="shared" si="6"/>
        <v>Mid-Level</v>
      </c>
    </row>
    <row r="442" spans="1:10" ht="15.75" customHeight="1" x14ac:dyDescent="0.25">
      <c r="A442">
        <v>1441</v>
      </c>
      <c r="B442">
        <v>49</v>
      </c>
      <c r="C442" t="s">
        <v>4</v>
      </c>
      <c r="D442" t="s">
        <v>16</v>
      </c>
      <c r="E442" t="s">
        <v>25</v>
      </c>
      <c r="F442">
        <v>95885</v>
      </c>
      <c r="G442">
        <v>3</v>
      </c>
      <c r="H442">
        <v>4</v>
      </c>
      <c r="I442" t="s">
        <v>15</v>
      </c>
      <c r="J442" t="str">
        <f t="shared" si="6"/>
        <v>Mid-Level</v>
      </c>
    </row>
    <row r="443" spans="1:10" ht="15.75" customHeight="1" x14ac:dyDescent="0.25">
      <c r="A443">
        <v>1442</v>
      </c>
      <c r="B443">
        <v>34</v>
      </c>
      <c r="C443" t="s">
        <v>4</v>
      </c>
      <c r="D443" t="s">
        <v>5</v>
      </c>
      <c r="E443" t="s">
        <v>20</v>
      </c>
      <c r="F443">
        <v>38128</v>
      </c>
      <c r="G443">
        <v>20</v>
      </c>
      <c r="H443">
        <v>5</v>
      </c>
      <c r="I443" t="s">
        <v>7</v>
      </c>
      <c r="J443" t="str">
        <f t="shared" si="6"/>
        <v>Senior</v>
      </c>
    </row>
    <row r="444" spans="1:10" ht="15.75" customHeight="1" x14ac:dyDescent="0.25">
      <c r="A444">
        <v>1443</v>
      </c>
      <c r="B444">
        <v>34</v>
      </c>
      <c r="C444" t="s">
        <v>4</v>
      </c>
      <c r="D444" t="s">
        <v>16</v>
      </c>
      <c r="E444" t="s">
        <v>25</v>
      </c>
      <c r="F444">
        <v>61732</v>
      </c>
      <c r="G444">
        <v>20</v>
      </c>
      <c r="H444">
        <v>5</v>
      </c>
      <c r="I444" t="s">
        <v>7</v>
      </c>
      <c r="J444" t="str">
        <f t="shared" si="6"/>
        <v>Senior</v>
      </c>
    </row>
    <row r="445" spans="1:10" ht="15.75" customHeight="1" x14ac:dyDescent="0.25">
      <c r="A445">
        <v>1444</v>
      </c>
      <c r="B445">
        <v>52</v>
      </c>
      <c r="C445" t="s">
        <v>10</v>
      </c>
      <c r="D445" t="s">
        <v>21</v>
      </c>
      <c r="E445" t="s">
        <v>24</v>
      </c>
      <c r="F445">
        <v>46566</v>
      </c>
      <c r="G445">
        <v>19</v>
      </c>
      <c r="H445">
        <v>1</v>
      </c>
      <c r="I445" t="s">
        <v>15</v>
      </c>
      <c r="J445" t="str">
        <f t="shared" si="6"/>
        <v>Senior</v>
      </c>
    </row>
    <row r="446" spans="1:10" ht="15.75" customHeight="1" x14ac:dyDescent="0.25">
      <c r="A446">
        <v>1445</v>
      </c>
      <c r="B446">
        <v>33</v>
      </c>
      <c r="C446" t="s">
        <v>10</v>
      </c>
      <c r="D446" t="s">
        <v>18</v>
      </c>
      <c r="E446" t="s">
        <v>23</v>
      </c>
      <c r="F446">
        <v>94458</v>
      </c>
      <c r="G446">
        <v>10</v>
      </c>
      <c r="H446">
        <v>4</v>
      </c>
      <c r="I446" t="s">
        <v>15</v>
      </c>
      <c r="J446" t="str">
        <f t="shared" si="6"/>
        <v>Senior</v>
      </c>
    </row>
    <row r="447" spans="1:10" ht="15.75" customHeight="1" x14ac:dyDescent="0.25">
      <c r="A447">
        <v>1446</v>
      </c>
      <c r="B447">
        <v>25</v>
      </c>
      <c r="C447" t="s">
        <v>10</v>
      </c>
      <c r="D447" t="s">
        <v>18</v>
      </c>
      <c r="E447" t="s">
        <v>23</v>
      </c>
      <c r="F447">
        <v>99602</v>
      </c>
      <c r="G447">
        <v>15</v>
      </c>
      <c r="H447">
        <v>3</v>
      </c>
      <c r="I447" t="s">
        <v>7</v>
      </c>
      <c r="J447" t="str">
        <f t="shared" si="6"/>
        <v>Senior</v>
      </c>
    </row>
    <row r="448" spans="1:10" ht="15.75" customHeight="1" x14ac:dyDescent="0.25">
      <c r="A448">
        <v>1447</v>
      </c>
      <c r="B448">
        <v>30</v>
      </c>
      <c r="C448" t="s">
        <v>4</v>
      </c>
      <c r="D448" t="s">
        <v>11</v>
      </c>
      <c r="E448" t="s">
        <v>14</v>
      </c>
      <c r="F448">
        <v>113908</v>
      </c>
      <c r="G448">
        <v>15</v>
      </c>
      <c r="H448">
        <v>4</v>
      </c>
      <c r="I448" t="s">
        <v>7</v>
      </c>
      <c r="J448" t="str">
        <f t="shared" si="6"/>
        <v>Senior</v>
      </c>
    </row>
    <row r="449" spans="1:10" ht="15.75" customHeight="1" x14ac:dyDescent="0.25">
      <c r="A449">
        <v>1448</v>
      </c>
      <c r="B449">
        <v>32</v>
      </c>
      <c r="C449" t="s">
        <v>4</v>
      </c>
      <c r="D449" t="s">
        <v>8</v>
      </c>
      <c r="E449" t="s">
        <v>13</v>
      </c>
      <c r="F449">
        <v>43881</v>
      </c>
      <c r="G449">
        <v>3</v>
      </c>
      <c r="H449">
        <v>2</v>
      </c>
      <c r="I449" t="s">
        <v>7</v>
      </c>
      <c r="J449" t="str">
        <f t="shared" si="6"/>
        <v>Mid-Level</v>
      </c>
    </row>
    <row r="450" spans="1:10" ht="15.75" customHeight="1" x14ac:dyDescent="0.25">
      <c r="A450">
        <v>1449</v>
      </c>
      <c r="B450">
        <v>35</v>
      </c>
      <c r="C450" t="s">
        <v>10</v>
      </c>
      <c r="D450" t="s">
        <v>21</v>
      </c>
      <c r="E450" t="s">
        <v>22</v>
      </c>
      <c r="F450">
        <v>67960</v>
      </c>
      <c r="G450">
        <v>7</v>
      </c>
      <c r="H450">
        <v>2</v>
      </c>
      <c r="I450" t="s">
        <v>7</v>
      </c>
      <c r="J450" t="str">
        <f t="shared" ref="J450:J513" si="7">IF(G450&lt;3,"Junior",IF(G450&lt;7,"Mid-Level","Senior"))</f>
        <v>Senior</v>
      </c>
    </row>
    <row r="451" spans="1:10" ht="15.75" customHeight="1" x14ac:dyDescent="0.25">
      <c r="A451">
        <v>1450</v>
      </c>
      <c r="B451">
        <v>46</v>
      </c>
      <c r="C451" t="s">
        <v>4</v>
      </c>
      <c r="D451" t="s">
        <v>16</v>
      </c>
      <c r="E451" t="s">
        <v>25</v>
      </c>
      <c r="F451">
        <v>28569</v>
      </c>
      <c r="G451">
        <v>12</v>
      </c>
      <c r="H451">
        <v>1</v>
      </c>
      <c r="I451" t="s">
        <v>7</v>
      </c>
      <c r="J451" t="str">
        <f t="shared" si="7"/>
        <v>Senior</v>
      </c>
    </row>
    <row r="452" spans="1:10" ht="15.75" customHeight="1" x14ac:dyDescent="0.25">
      <c r="A452">
        <v>1451</v>
      </c>
      <c r="B452">
        <v>53</v>
      </c>
      <c r="C452" t="s">
        <v>4</v>
      </c>
      <c r="D452" t="s">
        <v>21</v>
      </c>
      <c r="E452" t="s">
        <v>22</v>
      </c>
      <c r="F452">
        <v>108021</v>
      </c>
      <c r="G452">
        <v>13</v>
      </c>
      <c r="H452">
        <v>5</v>
      </c>
      <c r="I452" t="s">
        <v>7</v>
      </c>
      <c r="J452" t="str">
        <f t="shared" si="7"/>
        <v>Senior</v>
      </c>
    </row>
    <row r="453" spans="1:10" ht="15.75" customHeight="1" x14ac:dyDescent="0.25">
      <c r="A453">
        <v>1452</v>
      </c>
      <c r="B453">
        <v>56</v>
      </c>
      <c r="C453" t="s">
        <v>10</v>
      </c>
      <c r="D453" t="s">
        <v>8</v>
      </c>
      <c r="E453" t="s">
        <v>9</v>
      </c>
      <c r="F453">
        <v>112040</v>
      </c>
      <c r="G453">
        <v>4</v>
      </c>
      <c r="H453">
        <v>2</v>
      </c>
      <c r="I453" t="s">
        <v>15</v>
      </c>
      <c r="J453" t="str">
        <f t="shared" si="7"/>
        <v>Mid-Level</v>
      </c>
    </row>
    <row r="454" spans="1:10" ht="15.75" customHeight="1" x14ac:dyDescent="0.25">
      <c r="A454">
        <v>1453</v>
      </c>
      <c r="B454">
        <v>39</v>
      </c>
      <c r="C454" t="s">
        <v>4</v>
      </c>
      <c r="D454" t="s">
        <v>8</v>
      </c>
      <c r="E454" t="s">
        <v>13</v>
      </c>
      <c r="F454">
        <v>94524</v>
      </c>
      <c r="G454">
        <v>10</v>
      </c>
      <c r="H454">
        <v>1</v>
      </c>
      <c r="I454" t="s">
        <v>7</v>
      </c>
      <c r="J454" t="str">
        <f t="shared" si="7"/>
        <v>Senior</v>
      </c>
    </row>
    <row r="455" spans="1:10" ht="15.75" customHeight="1" x14ac:dyDescent="0.25">
      <c r="A455">
        <v>1454</v>
      </c>
      <c r="B455">
        <v>46</v>
      </c>
      <c r="C455" t="s">
        <v>4</v>
      </c>
      <c r="D455" t="s">
        <v>18</v>
      </c>
      <c r="E455" t="s">
        <v>23</v>
      </c>
      <c r="F455">
        <v>61640</v>
      </c>
      <c r="G455">
        <v>12</v>
      </c>
      <c r="H455">
        <v>2</v>
      </c>
      <c r="I455" t="s">
        <v>15</v>
      </c>
      <c r="J455" t="str">
        <f t="shared" si="7"/>
        <v>Senior</v>
      </c>
    </row>
    <row r="456" spans="1:10" ht="15.75" customHeight="1" x14ac:dyDescent="0.25">
      <c r="A456">
        <v>1455</v>
      </c>
      <c r="B456">
        <v>25</v>
      </c>
      <c r="C456" t="s">
        <v>4</v>
      </c>
      <c r="D456" t="s">
        <v>21</v>
      </c>
      <c r="E456" t="s">
        <v>22</v>
      </c>
      <c r="F456">
        <v>76071</v>
      </c>
      <c r="G456">
        <v>12</v>
      </c>
      <c r="H456">
        <v>3</v>
      </c>
      <c r="I456" t="s">
        <v>7</v>
      </c>
      <c r="J456" t="str">
        <f t="shared" si="7"/>
        <v>Senior</v>
      </c>
    </row>
    <row r="457" spans="1:10" ht="15.75" customHeight="1" x14ac:dyDescent="0.25">
      <c r="A457">
        <v>1456</v>
      </c>
      <c r="B457">
        <v>26</v>
      </c>
      <c r="C457" t="s">
        <v>10</v>
      </c>
      <c r="D457" t="s">
        <v>5</v>
      </c>
      <c r="E457" t="s">
        <v>6</v>
      </c>
      <c r="F457">
        <v>103623</v>
      </c>
      <c r="G457">
        <v>10</v>
      </c>
      <c r="H457">
        <v>3</v>
      </c>
      <c r="I457" t="s">
        <v>7</v>
      </c>
      <c r="J457" t="str">
        <f t="shared" si="7"/>
        <v>Senior</v>
      </c>
    </row>
    <row r="458" spans="1:10" ht="15.75" customHeight="1" x14ac:dyDescent="0.25">
      <c r="A458">
        <v>1457</v>
      </c>
      <c r="B458">
        <v>37</v>
      </c>
      <c r="C458" t="s">
        <v>4</v>
      </c>
      <c r="D458" t="s">
        <v>8</v>
      </c>
      <c r="E458" t="s">
        <v>9</v>
      </c>
      <c r="F458">
        <v>21287</v>
      </c>
      <c r="G458">
        <v>3</v>
      </c>
      <c r="H458">
        <v>1</v>
      </c>
      <c r="I458" t="s">
        <v>7</v>
      </c>
      <c r="J458" t="str">
        <f t="shared" si="7"/>
        <v>Mid-Level</v>
      </c>
    </row>
    <row r="459" spans="1:10" ht="15.75" customHeight="1" x14ac:dyDescent="0.25">
      <c r="A459">
        <v>1458</v>
      </c>
      <c r="B459">
        <v>30</v>
      </c>
      <c r="C459" t="s">
        <v>10</v>
      </c>
      <c r="D459" t="s">
        <v>16</v>
      </c>
      <c r="E459" t="s">
        <v>25</v>
      </c>
      <c r="F459">
        <v>80407</v>
      </c>
      <c r="G459">
        <v>6</v>
      </c>
      <c r="H459">
        <v>2</v>
      </c>
      <c r="I459" t="s">
        <v>15</v>
      </c>
      <c r="J459" t="str">
        <f t="shared" si="7"/>
        <v>Mid-Level</v>
      </c>
    </row>
    <row r="460" spans="1:10" ht="15.75" customHeight="1" x14ac:dyDescent="0.25">
      <c r="A460">
        <v>1459</v>
      </c>
      <c r="B460">
        <v>33</v>
      </c>
      <c r="C460" t="s">
        <v>10</v>
      </c>
      <c r="D460" t="s">
        <v>16</v>
      </c>
      <c r="E460" t="s">
        <v>25</v>
      </c>
      <c r="F460">
        <v>90833</v>
      </c>
      <c r="G460">
        <v>5</v>
      </c>
      <c r="H460">
        <v>5</v>
      </c>
      <c r="I460" t="s">
        <v>7</v>
      </c>
      <c r="J460" t="str">
        <f t="shared" si="7"/>
        <v>Mid-Level</v>
      </c>
    </row>
    <row r="461" spans="1:10" ht="15.75" customHeight="1" x14ac:dyDescent="0.25">
      <c r="A461">
        <v>1460</v>
      </c>
      <c r="B461">
        <v>25</v>
      </c>
      <c r="C461" t="s">
        <v>4</v>
      </c>
      <c r="D461" t="s">
        <v>21</v>
      </c>
      <c r="E461" t="s">
        <v>24</v>
      </c>
      <c r="F461">
        <v>112749</v>
      </c>
      <c r="G461">
        <v>4</v>
      </c>
      <c r="H461">
        <v>3</v>
      </c>
      <c r="I461" t="s">
        <v>7</v>
      </c>
      <c r="J461" t="str">
        <f t="shared" si="7"/>
        <v>Mid-Level</v>
      </c>
    </row>
    <row r="462" spans="1:10" ht="15.75" customHeight="1" x14ac:dyDescent="0.25">
      <c r="A462">
        <v>1461</v>
      </c>
      <c r="B462">
        <v>57</v>
      </c>
      <c r="C462" t="s">
        <v>4</v>
      </c>
      <c r="D462" t="s">
        <v>8</v>
      </c>
      <c r="E462" t="s">
        <v>9</v>
      </c>
      <c r="F462">
        <v>81481</v>
      </c>
      <c r="G462">
        <v>4</v>
      </c>
      <c r="H462">
        <v>4</v>
      </c>
      <c r="I462" t="s">
        <v>7</v>
      </c>
      <c r="J462" t="str">
        <f t="shared" si="7"/>
        <v>Mid-Level</v>
      </c>
    </row>
    <row r="463" spans="1:10" ht="15.75" customHeight="1" x14ac:dyDescent="0.25">
      <c r="A463">
        <v>1462</v>
      </c>
      <c r="B463">
        <v>40</v>
      </c>
      <c r="C463" t="s">
        <v>10</v>
      </c>
      <c r="D463" t="s">
        <v>8</v>
      </c>
      <c r="E463" t="s">
        <v>13</v>
      </c>
      <c r="F463">
        <v>103190</v>
      </c>
      <c r="G463">
        <v>19</v>
      </c>
      <c r="H463">
        <v>2</v>
      </c>
      <c r="I463" t="s">
        <v>7</v>
      </c>
      <c r="J463" t="str">
        <f t="shared" si="7"/>
        <v>Senior</v>
      </c>
    </row>
    <row r="464" spans="1:10" ht="15.75" customHeight="1" x14ac:dyDescent="0.25">
      <c r="A464">
        <v>1463</v>
      </c>
      <c r="B464">
        <v>54</v>
      </c>
      <c r="C464" t="s">
        <v>4</v>
      </c>
      <c r="D464" t="s">
        <v>11</v>
      </c>
      <c r="E464" t="s">
        <v>14</v>
      </c>
      <c r="F464">
        <v>59813</v>
      </c>
      <c r="G464">
        <v>9</v>
      </c>
      <c r="H464">
        <v>1</v>
      </c>
      <c r="I464" t="s">
        <v>7</v>
      </c>
      <c r="J464" t="str">
        <f t="shared" si="7"/>
        <v>Senior</v>
      </c>
    </row>
    <row r="465" spans="1:10" ht="15.75" customHeight="1" x14ac:dyDescent="0.25">
      <c r="A465">
        <v>1464</v>
      </c>
      <c r="B465">
        <v>58</v>
      </c>
      <c r="C465" t="s">
        <v>10</v>
      </c>
      <c r="D465" t="s">
        <v>16</v>
      </c>
      <c r="E465" t="s">
        <v>17</v>
      </c>
      <c r="F465">
        <v>118648</v>
      </c>
      <c r="G465">
        <v>15</v>
      </c>
      <c r="H465">
        <v>4</v>
      </c>
      <c r="I465" t="s">
        <v>7</v>
      </c>
      <c r="J465" t="str">
        <f t="shared" si="7"/>
        <v>Senior</v>
      </c>
    </row>
    <row r="466" spans="1:10" ht="15.75" customHeight="1" x14ac:dyDescent="0.25">
      <c r="A466">
        <v>1465</v>
      </c>
      <c r="B466">
        <v>40</v>
      </c>
      <c r="C466" t="s">
        <v>4</v>
      </c>
      <c r="D466" t="s">
        <v>11</v>
      </c>
      <c r="E466" t="s">
        <v>12</v>
      </c>
      <c r="F466">
        <v>53507</v>
      </c>
      <c r="G466">
        <v>9</v>
      </c>
      <c r="H466">
        <v>2</v>
      </c>
      <c r="I466" t="s">
        <v>7</v>
      </c>
      <c r="J466" t="str">
        <f t="shared" si="7"/>
        <v>Senior</v>
      </c>
    </row>
    <row r="467" spans="1:10" ht="15.75" customHeight="1" x14ac:dyDescent="0.25">
      <c r="A467">
        <v>1466</v>
      </c>
      <c r="B467">
        <v>27</v>
      </c>
      <c r="C467" t="s">
        <v>4</v>
      </c>
      <c r="D467" t="s">
        <v>21</v>
      </c>
      <c r="E467" t="s">
        <v>22</v>
      </c>
      <c r="F467">
        <v>87572</v>
      </c>
      <c r="G467">
        <v>8</v>
      </c>
      <c r="H467">
        <v>2</v>
      </c>
      <c r="I467" t="s">
        <v>7</v>
      </c>
      <c r="J467" t="str">
        <f t="shared" si="7"/>
        <v>Senior</v>
      </c>
    </row>
    <row r="468" spans="1:10" ht="15.75" customHeight="1" x14ac:dyDescent="0.25">
      <c r="A468">
        <v>1467</v>
      </c>
      <c r="B468">
        <v>54</v>
      </c>
      <c r="C468" t="s">
        <v>10</v>
      </c>
      <c r="D468" t="s">
        <v>8</v>
      </c>
      <c r="E468" t="s">
        <v>13</v>
      </c>
      <c r="F468">
        <v>100473</v>
      </c>
      <c r="G468">
        <v>1</v>
      </c>
      <c r="H468">
        <v>4</v>
      </c>
      <c r="I468" t="s">
        <v>7</v>
      </c>
      <c r="J468" t="str">
        <f t="shared" si="7"/>
        <v>Junior</v>
      </c>
    </row>
    <row r="469" spans="1:10" ht="15.75" customHeight="1" x14ac:dyDescent="0.25">
      <c r="A469">
        <v>1468</v>
      </c>
      <c r="B469">
        <v>28</v>
      </c>
      <c r="C469" t="s">
        <v>10</v>
      </c>
      <c r="D469" t="s">
        <v>8</v>
      </c>
      <c r="E469" t="s">
        <v>13</v>
      </c>
      <c r="F469">
        <v>53613</v>
      </c>
      <c r="G469">
        <v>14</v>
      </c>
      <c r="H469">
        <v>4</v>
      </c>
      <c r="I469" t="s">
        <v>7</v>
      </c>
      <c r="J469" t="str">
        <f t="shared" si="7"/>
        <v>Senior</v>
      </c>
    </row>
    <row r="470" spans="1:10" ht="15.75" customHeight="1" x14ac:dyDescent="0.25">
      <c r="A470">
        <v>1469</v>
      </c>
      <c r="B470">
        <v>25</v>
      </c>
      <c r="C470" t="s">
        <v>10</v>
      </c>
      <c r="D470" t="s">
        <v>8</v>
      </c>
      <c r="E470" t="s">
        <v>9</v>
      </c>
      <c r="F470">
        <v>60455</v>
      </c>
      <c r="G470">
        <v>20</v>
      </c>
      <c r="H470">
        <v>5</v>
      </c>
      <c r="I470" t="s">
        <v>7</v>
      </c>
      <c r="J470" t="str">
        <f t="shared" si="7"/>
        <v>Senior</v>
      </c>
    </row>
    <row r="471" spans="1:10" ht="15.75" customHeight="1" x14ac:dyDescent="0.25">
      <c r="A471">
        <v>1470</v>
      </c>
      <c r="B471">
        <v>22</v>
      </c>
      <c r="C471" t="s">
        <v>4</v>
      </c>
      <c r="D471" t="s">
        <v>5</v>
      </c>
      <c r="E471" t="s">
        <v>20</v>
      </c>
      <c r="F471">
        <v>47396</v>
      </c>
      <c r="G471">
        <v>3</v>
      </c>
      <c r="H471">
        <v>3</v>
      </c>
      <c r="I471" t="s">
        <v>7</v>
      </c>
      <c r="J471" t="str">
        <f t="shared" si="7"/>
        <v>Mid-Level</v>
      </c>
    </row>
    <row r="472" spans="1:10" ht="15.75" customHeight="1" x14ac:dyDescent="0.25">
      <c r="A472">
        <v>1471</v>
      </c>
      <c r="B472">
        <v>33</v>
      </c>
      <c r="C472" t="s">
        <v>4</v>
      </c>
      <c r="D472" t="s">
        <v>18</v>
      </c>
      <c r="E472" t="s">
        <v>23</v>
      </c>
      <c r="F472">
        <v>48492</v>
      </c>
      <c r="G472">
        <v>15</v>
      </c>
      <c r="H472">
        <v>2</v>
      </c>
      <c r="I472" t="s">
        <v>15</v>
      </c>
      <c r="J472" t="str">
        <f t="shared" si="7"/>
        <v>Senior</v>
      </c>
    </row>
    <row r="473" spans="1:10" ht="15.75" customHeight="1" x14ac:dyDescent="0.25">
      <c r="A473">
        <v>1472</v>
      </c>
      <c r="B473">
        <v>27</v>
      </c>
      <c r="C473" t="s">
        <v>4</v>
      </c>
      <c r="D473" t="s">
        <v>8</v>
      </c>
      <c r="E473" t="s">
        <v>13</v>
      </c>
      <c r="F473">
        <v>32676</v>
      </c>
      <c r="G473">
        <v>17</v>
      </c>
      <c r="H473">
        <v>1</v>
      </c>
      <c r="I473" t="s">
        <v>7</v>
      </c>
      <c r="J473" t="str">
        <f t="shared" si="7"/>
        <v>Senior</v>
      </c>
    </row>
    <row r="474" spans="1:10" ht="15.75" customHeight="1" x14ac:dyDescent="0.25">
      <c r="A474">
        <v>1473</v>
      </c>
      <c r="B474">
        <v>32</v>
      </c>
      <c r="C474" t="s">
        <v>10</v>
      </c>
      <c r="D474" t="s">
        <v>5</v>
      </c>
      <c r="E474" t="s">
        <v>26</v>
      </c>
      <c r="F474">
        <v>45579</v>
      </c>
      <c r="G474">
        <v>13</v>
      </c>
      <c r="H474">
        <v>1</v>
      </c>
      <c r="I474" t="s">
        <v>7</v>
      </c>
      <c r="J474" t="str">
        <f t="shared" si="7"/>
        <v>Senior</v>
      </c>
    </row>
    <row r="475" spans="1:10" ht="15.75" customHeight="1" x14ac:dyDescent="0.25">
      <c r="A475">
        <v>1474</v>
      </c>
      <c r="B475">
        <v>25</v>
      </c>
      <c r="C475" t="s">
        <v>10</v>
      </c>
      <c r="D475" t="s">
        <v>5</v>
      </c>
      <c r="E475" t="s">
        <v>6</v>
      </c>
      <c r="F475">
        <v>60066</v>
      </c>
      <c r="G475">
        <v>0</v>
      </c>
      <c r="H475">
        <v>3</v>
      </c>
      <c r="I475" t="s">
        <v>7</v>
      </c>
      <c r="J475" t="str">
        <f t="shared" si="7"/>
        <v>Junior</v>
      </c>
    </row>
    <row r="476" spans="1:10" ht="15.75" customHeight="1" x14ac:dyDescent="0.25">
      <c r="A476">
        <v>1475</v>
      </c>
      <c r="B476">
        <v>46</v>
      </c>
      <c r="C476" t="s">
        <v>4</v>
      </c>
      <c r="D476" t="s">
        <v>21</v>
      </c>
      <c r="E476" t="s">
        <v>22</v>
      </c>
      <c r="F476">
        <v>96841</v>
      </c>
      <c r="G476">
        <v>8</v>
      </c>
      <c r="H476">
        <v>4</v>
      </c>
      <c r="I476" t="s">
        <v>7</v>
      </c>
      <c r="J476" t="str">
        <f t="shared" si="7"/>
        <v>Senior</v>
      </c>
    </row>
    <row r="477" spans="1:10" ht="15.75" customHeight="1" x14ac:dyDescent="0.25">
      <c r="A477">
        <v>1476</v>
      </c>
      <c r="B477">
        <v>23</v>
      </c>
      <c r="C477" t="s">
        <v>4</v>
      </c>
      <c r="D477" t="s">
        <v>18</v>
      </c>
      <c r="E477" t="s">
        <v>23</v>
      </c>
      <c r="F477">
        <v>107751</v>
      </c>
      <c r="G477">
        <v>2</v>
      </c>
      <c r="H477">
        <v>5</v>
      </c>
      <c r="I477" t="s">
        <v>7</v>
      </c>
      <c r="J477" t="str">
        <f t="shared" si="7"/>
        <v>Junior</v>
      </c>
    </row>
    <row r="478" spans="1:10" ht="15.75" customHeight="1" x14ac:dyDescent="0.25">
      <c r="A478">
        <v>1477</v>
      </c>
      <c r="B478">
        <v>45</v>
      </c>
      <c r="C478" t="s">
        <v>10</v>
      </c>
      <c r="D478" t="s">
        <v>5</v>
      </c>
      <c r="E478" t="s">
        <v>26</v>
      </c>
      <c r="F478">
        <v>71868</v>
      </c>
      <c r="G478">
        <v>12</v>
      </c>
      <c r="H478">
        <v>1</v>
      </c>
      <c r="I478" t="s">
        <v>7</v>
      </c>
      <c r="J478" t="str">
        <f t="shared" si="7"/>
        <v>Senior</v>
      </c>
    </row>
    <row r="479" spans="1:10" ht="15.75" customHeight="1" x14ac:dyDescent="0.25">
      <c r="A479">
        <v>1478</v>
      </c>
      <c r="B479">
        <v>44</v>
      </c>
      <c r="C479" t="s">
        <v>4</v>
      </c>
      <c r="D479" t="s">
        <v>18</v>
      </c>
      <c r="E479" t="s">
        <v>19</v>
      </c>
      <c r="F479">
        <v>28983</v>
      </c>
      <c r="G479">
        <v>4</v>
      </c>
      <c r="H479">
        <v>2</v>
      </c>
      <c r="I479" t="s">
        <v>7</v>
      </c>
      <c r="J479" t="str">
        <f t="shared" si="7"/>
        <v>Mid-Level</v>
      </c>
    </row>
    <row r="480" spans="1:10" ht="15.75" customHeight="1" x14ac:dyDescent="0.25">
      <c r="A480">
        <v>1479</v>
      </c>
      <c r="B480">
        <v>31</v>
      </c>
      <c r="C480" t="s">
        <v>4</v>
      </c>
      <c r="D480" t="s">
        <v>11</v>
      </c>
      <c r="E480" t="s">
        <v>12</v>
      </c>
      <c r="F480">
        <v>39395</v>
      </c>
      <c r="G480">
        <v>15</v>
      </c>
      <c r="H480">
        <v>4</v>
      </c>
      <c r="I480" t="s">
        <v>7</v>
      </c>
      <c r="J480" t="str">
        <f t="shared" si="7"/>
        <v>Senior</v>
      </c>
    </row>
    <row r="481" spans="1:10" ht="15.75" customHeight="1" x14ac:dyDescent="0.25">
      <c r="A481">
        <v>1480</v>
      </c>
      <c r="B481">
        <v>26</v>
      </c>
      <c r="C481" t="s">
        <v>4</v>
      </c>
      <c r="D481" t="s">
        <v>21</v>
      </c>
      <c r="E481" t="s">
        <v>22</v>
      </c>
      <c r="F481">
        <v>100526</v>
      </c>
      <c r="G481">
        <v>6</v>
      </c>
      <c r="H481">
        <v>3</v>
      </c>
      <c r="I481" t="s">
        <v>15</v>
      </c>
      <c r="J481" t="str">
        <f t="shared" si="7"/>
        <v>Mid-Level</v>
      </c>
    </row>
    <row r="482" spans="1:10" ht="15.75" customHeight="1" x14ac:dyDescent="0.25">
      <c r="A482">
        <v>1481</v>
      </c>
      <c r="B482">
        <v>49</v>
      </c>
      <c r="C482" t="s">
        <v>10</v>
      </c>
      <c r="D482" t="s">
        <v>5</v>
      </c>
      <c r="E482" t="s">
        <v>6</v>
      </c>
      <c r="F482">
        <v>109654</v>
      </c>
      <c r="G482">
        <v>12</v>
      </c>
      <c r="H482">
        <v>3</v>
      </c>
      <c r="I482" t="s">
        <v>7</v>
      </c>
      <c r="J482" t="str">
        <f t="shared" si="7"/>
        <v>Senior</v>
      </c>
    </row>
    <row r="483" spans="1:10" ht="15.75" customHeight="1" x14ac:dyDescent="0.25">
      <c r="A483">
        <v>1482</v>
      </c>
      <c r="B483">
        <v>35</v>
      </c>
      <c r="C483" t="s">
        <v>10</v>
      </c>
      <c r="D483" t="s">
        <v>16</v>
      </c>
      <c r="E483" t="s">
        <v>17</v>
      </c>
      <c r="F483">
        <v>51281</v>
      </c>
      <c r="G483">
        <v>18</v>
      </c>
      <c r="H483">
        <v>3</v>
      </c>
      <c r="I483" t="s">
        <v>7</v>
      </c>
      <c r="J483" t="str">
        <f t="shared" si="7"/>
        <v>Senior</v>
      </c>
    </row>
    <row r="484" spans="1:10" ht="15.75" customHeight="1" x14ac:dyDescent="0.25">
      <c r="A484">
        <v>1483</v>
      </c>
      <c r="B484">
        <v>40</v>
      </c>
      <c r="C484" t="s">
        <v>10</v>
      </c>
      <c r="D484" t="s">
        <v>21</v>
      </c>
      <c r="E484" t="s">
        <v>24</v>
      </c>
      <c r="F484">
        <v>33253</v>
      </c>
      <c r="G484">
        <v>7</v>
      </c>
      <c r="H484">
        <v>2</v>
      </c>
      <c r="I484" t="s">
        <v>7</v>
      </c>
      <c r="J484" t="str">
        <f t="shared" si="7"/>
        <v>Senior</v>
      </c>
    </row>
    <row r="485" spans="1:10" ht="15.75" customHeight="1" x14ac:dyDescent="0.25">
      <c r="A485">
        <v>1484</v>
      </c>
      <c r="B485">
        <v>57</v>
      </c>
      <c r="C485" t="s">
        <v>10</v>
      </c>
      <c r="D485" t="s">
        <v>16</v>
      </c>
      <c r="E485" t="s">
        <v>17</v>
      </c>
      <c r="F485">
        <v>57351</v>
      </c>
      <c r="G485">
        <v>5</v>
      </c>
      <c r="H485">
        <v>1</v>
      </c>
      <c r="I485" t="s">
        <v>7</v>
      </c>
      <c r="J485" t="str">
        <f t="shared" si="7"/>
        <v>Mid-Level</v>
      </c>
    </row>
    <row r="486" spans="1:10" ht="15.75" customHeight="1" x14ac:dyDescent="0.25">
      <c r="A486">
        <v>1485</v>
      </c>
      <c r="B486">
        <v>35</v>
      </c>
      <c r="C486" t="s">
        <v>10</v>
      </c>
      <c r="D486" t="s">
        <v>18</v>
      </c>
      <c r="E486" t="s">
        <v>23</v>
      </c>
      <c r="F486">
        <v>76177</v>
      </c>
      <c r="G486">
        <v>3</v>
      </c>
      <c r="H486">
        <v>2</v>
      </c>
      <c r="I486" t="s">
        <v>7</v>
      </c>
      <c r="J486" t="str">
        <f t="shared" si="7"/>
        <v>Mid-Level</v>
      </c>
    </row>
    <row r="487" spans="1:10" ht="15.75" customHeight="1" x14ac:dyDescent="0.25">
      <c r="A487">
        <v>1486</v>
      </c>
      <c r="B487">
        <v>58</v>
      </c>
      <c r="C487" t="s">
        <v>4</v>
      </c>
      <c r="D487" t="s">
        <v>8</v>
      </c>
      <c r="E487" t="s">
        <v>13</v>
      </c>
      <c r="F487">
        <v>52907</v>
      </c>
      <c r="G487">
        <v>8</v>
      </c>
      <c r="H487">
        <v>3</v>
      </c>
      <c r="I487" t="s">
        <v>7</v>
      </c>
      <c r="J487" t="str">
        <f t="shared" si="7"/>
        <v>Senior</v>
      </c>
    </row>
    <row r="488" spans="1:10" ht="15.75" customHeight="1" x14ac:dyDescent="0.25">
      <c r="A488">
        <v>1487</v>
      </c>
      <c r="B488">
        <v>52</v>
      </c>
      <c r="C488" t="s">
        <v>10</v>
      </c>
      <c r="D488" t="s">
        <v>8</v>
      </c>
      <c r="E488" t="s">
        <v>9</v>
      </c>
      <c r="F488">
        <v>78583</v>
      </c>
      <c r="G488">
        <v>20</v>
      </c>
      <c r="H488">
        <v>1</v>
      </c>
      <c r="I488" t="s">
        <v>7</v>
      </c>
      <c r="J488" t="str">
        <f t="shared" si="7"/>
        <v>Senior</v>
      </c>
    </row>
    <row r="489" spans="1:10" ht="15.75" customHeight="1" x14ac:dyDescent="0.25">
      <c r="A489">
        <v>1488</v>
      </c>
      <c r="B489">
        <v>25</v>
      </c>
      <c r="C489" t="s">
        <v>4</v>
      </c>
      <c r="D489" t="s">
        <v>18</v>
      </c>
      <c r="E489" t="s">
        <v>19</v>
      </c>
      <c r="F489">
        <v>46421</v>
      </c>
      <c r="G489">
        <v>20</v>
      </c>
      <c r="H489">
        <v>5</v>
      </c>
      <c r="I489" t="s">
        <v>7</v>
      </c>
      <c r="J489" t="str">
        <f t="shared" si="7"/>
        <v>Senior</v>
      </c>
    </row>
    <row r="490" spans="1:10" ht="15.75" customHeight="1" x14ac:dyDescent="0.25">
      <c r="A490">
        <v>1489</v>
      </c>
      <c r="B490">
        <v>39</v>
      </c>
      <c r="C490" t="s">
        <v>10</v>
      </c>
      <c r="D490" t="s">
        <v>16</v>
      </c>
      <c r="E490" t="s">
        <v>17</v>
      </c>
      <c r="F490">
        <v>23857</v>
      </c>
      <c r="G490">
        <v>12</v>
      </c>
      <c r="H490">
        <v>3</v>
      </c>
      <c r="I490" t="s">
        <v>7</v>
      </c>
      <c r="J490" t="str">
        <f t="shared" si="7"/>
        <v>Senior</v>
      </c>
    </row>
    <row r="491" spans="1:10" ht="15.75" customHeight="1" x14ac:dyDescent="0.25">
      <c r="A491">
        <v>1490</v>
      </c>
      <c r="B491">
        <v>22</v>
      </c>
      <c r="C491" t="s">
        <v>10</v>
      </c>
      <c r="D491" t="s">
        <v>18</v>
      </c>
      <c r="E491" t="s">
        <v>19</v>
      </c>
      <c r="F491">
        <v>90293</v>
      </c>
      <c r="G491">
        <v>18</v>
      </c>
      <c r="H491">
        <v>5</v>
      </c>
      <c r="I491" t="s">
        <v>7</v>
      </c>
      <c r="J491" t="str">
        <f t="shared" si="7"/>
        <v>Senior</v>
      </c>
    </row>
    <row r="492" spans="1:10" ht="15.75" customHeight="1" x14ac:dyDescent="0.25">
      <c r="A492">
        <v>1491</v>
      </c>
      <c r="B492">
        <v>31</v>
      </c>
      <c r="C492" t="s">
        <v>4</v>
      </c>
      <c r="D492" t="s">
        <v>16</v>
      </c>
      <c r="E492" t="s">
        <v>17</v>
      </c>
      <c r="F492">
        <v>26602</v>
      </c>
      <c r="G492">
        <v>0</v>
      </c>
      <c r="H492">
        <v>2</v>
      </c>
      <c r="I492" t="s">
        <v>7</v>
      </c>
      <c r="J492" t="str">
        <f t="shared" si="7"/>
        <v>Junior</v>
      </c>
    </row>
    <row r="493" spans="1:10" ht="15.75" customHeight="1" x14ac:dyDescent="0.25">
      <c r="A493">
        <v>1492</v>
      </c>
      <c r="B493">
        <v>40</v>
      </c>
      <c r="C493" t="s">
        <v>10</v>
      </c>
      <c r="D493" t="s">
        <v>21</v>
      </c>
      <c r="E493" t="s">
        <v>22</v>
      </c>
      <c r="F493">
        <v>79276</v>
      </c>
      <c r="G493">
        <v>8</v>
      </c>
      <c r="H493">
        <v>5</v>
      </c>
      <c r="I493" t="s">
        <v>7</v>
      </c>
      <c r="J493" t="str">
        <f t="shared" si="7"/>
        <v>Senior</v>
      </c>
    </row>
    <row r="494" spans="1:10" ht="15.75" customHeight="1" x14ac:dyDescent="0.25">
      <c r="A494">
        <v>1493</v>
      </c>
      <c r="B494">
        <v>35</v>
      </c>
      <c r="C494" t="s">
        <v>10</v>
      </c>
      <c r="D494" t="s">
        <v>8</v>
      </c>
      <c r="E494" t="s">
        <v>13</v>
      </c>
      <c r="F494">
        <v>45273</v>
      </c>
      <c r="G494">
        <v>13</v>
      </c>
      <c r="H494">
        <v>5</v>
      </c>
      <c r="I494" t="s">
        <v>7</v>
      </c>
      <c r="J494" t="str">
        <f t="shared" si="7"/>
        <v>Senior</v>
      </c>
    </row>
    <row r="495" spans="1:10" ht="15.75" customHeight="1" x14ac:dyDescent="0.25">
      <c r="A495">
        <v>1494</v>
      </c>
      <c r="B495">
        <v>57</v>
      </c>
      <c r="C495" t="s">
        <v>10</v>
      </c>
      <c r="D495" t="s">
        <v>18</v>
      </c>
      <c r="E495" t="s">
        <v>19</v>
      </c>
      <c r="F495">
        <v>44505</v>
      </c>
      <c r="G495">
        <v>17</v>
      </c>
      <c r="H495">
        <v>2</v>
      </c>
      <c r="I495" t="s">
        <v>7</v>
      </c>
      <c r="J495" t="str">
        <f t="shared" si="7"/>
        <v>Senior</v>
      </c>
    </row>
    <row r="496" spans="1:10" ht="15.75" customHeight="1" x14ac:dyDescent="0.25">
      <c r="A496">
        <v>1495</v>
      </c>
      <c r="B496">
        <v>55</v>
      </c>
      <c r="C496" t="s">
        <v>4</v>
      </c>
      <c r="D496" t="s">
        <v>5</v>
      </c>
      <c r="E496" t="s">
        <v>26</v>
      </c>
      <c r="F496">
        <v>85977</v>
      </c>
      <c r="G496">
        <v>16</v>
      </c>
      <c r="H496">
        <v>5</v>
      </c>
      <c r="I496" t="s">
        <v>7</v>
      </c>
      <c r="J496" t="str">
        <f t="shared" si="7"/>
        <v>Senior</v>
      </c>
    </row>
    <row r="497" spans="1:10" ht="15.75" customHeight="1" x14ac:dyDescent="0.25">
      <c r="A497">
        <v>1496</v>
      </c>
      <c r="B497">
        <v>25</v>
      </c>
      <c r="C497" t="s">
        <v>4</v>
      </c>
      <c r="D497" t="s">
        <v>18</v>
      </c>
      <c r="E497" t="s">
        <v>23</v>
      </c>
      <c r="F497">
        <v>74750</v>
      </c>
      <c r="G497">
        <v>17</v>
      </c>
      <c r="H497">
        <v>3</v>
      </c>
      <c r="I497" t="s">
        <v>15</v>
      </c>
      <c r="J497" t="str">
        <f t="shared" si="7"/>
        <v>Senior</v>
      </c>
    </row>
    <row r="498" spans="1:10" ht="15.75" customHeight="1" x14ac:dyDescent="0.25">
      <c r="A498">
        <v>1497</v>
      </c>
      <c r="B498">
        <v>25</v>
      </c>
      <c r="C498" t="s">
        <v>4</v>
      </c>
      <c r="D498" t="s">
        <v>18</v>
      </c>
      <c r="E498" t="s">
        <v>23</v>
      </c>
      <c r="F498">
        <v>96545</v>
      </c>
      <c r="G498">
        <v>3</v>
      </c>
      <c r="H498">
        <v>5</v>
      </c>
      <c r="I498" t="s">
        <v>7</v>
      </c>
      <c r="J498" t="str">
        <f t="shared" si="7"/>
        <v>Mid-Level</v>
      </c>
    </row>
    <row r="499" spans="1:10" ht="15.75" customHeight="1" x14ac:dyDescent="0.25">
      <c r="A499">
        <v>1498</v>
      </c>
      <c r="B499">
        <v>27</v>
      </c>
      <c r="C499" t="s">
        <v>10</v>
      </c>
      <c r="D499" t="s">
        <v>16</v>
      </c>
      <c r="E499" t="s">
        <v>17</v>
      </c>
      <c r="F499">
        <v>54275</v>
      </c>
      <c r="G499">
        <v>20</v>
      </c>
      <c r="H499">
        <v>4</v>
      </c>
      <c r="I499" t="s">
        <v>7</v>
      </c>
      <c r="J499" t="str">
        <f t="shared" si="7"/>
        <v>Senior</v>
      </c>
    </row>
    <row r="500" spans="1:10" ht="15.75" customHeight="1" x14ac:dyDescent="0.25">
      <c r="A500">
        <v>1499</v>
      </c>
      <c r="B500">
        <v>46</v>
      </c>
      <c r="C500" t="s">
        <v>4</v>
      </c>
      <c r="D500" t="s">
        <v>8</v>
      </c>
      <c r="E500" t="s">
        <v>13</v>
      </c>
      <c r="F500">
        <v>26113</v>
      </c>
      <c r="G500">
        <v>10</v>
      </c>
      <c r="H500">
        <v>3</v>
      </c>
      <c r="I500" t="s">
        <v>7</v>
      </c>
      <c r="J500" t="str">
        <f t="shared" si="7"/>
        <v>Senior</v>
      </c>
    </row>
    <row r="501" spans="1:10" ht="15.75" customHeight="1" x14ac:dyDescent="0.25">
      <c r="A501">
        <v>1500</v>
      </c>
      <c r="B501">
        <v>51</v>
      </c>
      <c r="C501" t="s">
        <v>4</v>
      </c>
      <c r="D501" t="s">
        <v>21</v>
      </c>
      <c r="E501" t="s">
        <v>22</v>
      </c>
      <c r="F501">
        <v>95835</v>
      </c>
      <c r="G501">
        <v>14</v>
      </c>
      <c r="H501">
        <v>4</v>
      </c>
      <c r="I501" t="s">
        <v>7</v>
      </c>
      <c r="J501" t="str">
        <f t="shared" si="7"/>
        <v>Senior</v>
      </c>
    </row>
    <row r="502" spans="1:10" ht="15.75" customHeight="1" x14ac:dyDescent="0.25">
      <c r="A502">
        <v>1501</v>
      </c>
      <c r="B502">
        <v>40</v>
      </c>
      <c r="C502" t="s">
        <v>4</v>
      </c>
      <c r="D502" t="s">
        <v>21</v>
      </c>
      <c r="E502" t="s">
        <v>22</v>
      </c>
      <c r="F502">
        <v>105170</v>
      </c>
      <c r="G502">
        <v>16</v>
      </c>
      <c r="H502">
        <v>3</v>
      </c>
      <c r="I502" t="s">
        <v>7</v>
      </c>
      <c r="J502" t="str">
        <f t="shared" si="7"/>
        <v>Senior</v>
      </c>
    </row>
    <row r="503" spans="1:10" ht="15.75" customHeight="1" x14ac:dyDescent="0.25">
      <c r="A503">
        <v>1502</v>
      </c>
      <c r="B503">
        <v>37</v>
      </c>
      <c r="C503" t="s">
        <v>4</v>
      </c>
      <c r="D503" t="s">
        <v>21</v>
      </c>
      <c r="E503" t="s">
        <v>24</v>
      </c>
      <c r="F503">
        <v>25114</v>
      </c>
      <c r="G503">
        <v>17</v>
      </c>
      <c r="H503">
        <v>2</v>
      </c>
      <c r="I503" t="s">
        <v>7</v>
      </c>
      <c r="J503" t="str">
        <f t="shared" si="7"/>
        <v>Senior</v>
      </c>
    </row>
    <row r="504" spans="1:10" ht="15.75" customHeight="1" x14ac:dyDescent="0.25">
      <c r="A504">
        <v>1503</v>
      </c>
      <c r="B504">
        <v>51</v>
      </c>
      <c r="C504" t="s">
        <v>10</v>
      </c>
      <c r="D504" t="s">
        <v>18</v>
      </c>
      <c r="E504" t="s">
        <v>19</v>
      </c>
      <c r="F504">
        <v>22132</v>
      </c>
      <c r="G504">
        <v>19</v>
      </c>
      <c r="H504">
        <v>3</v>
      </c>
      <c r="I504" t="s">
        <v>7</v>
      </c>
      <c r="J504" t="str">
        <f t="shared" si="7"/>
        <v>Senior</v>
      </c>
    </row>
    <row r="505" spans="1:10" ht="15.75" customHeight="1" x14ac:dyDescent="0.25">
      <c r="A505">
        <v>1504</v>
      </c>
      <c r="B505">
        <v>29</v>
      </c>
      <c r="C505" t="s">
        <v>10</v>
      </c>
      <c r="D505" t="s">
        <v>16</v>
      </c>
      <c r="E505" t="s">
        <v>17</v>
      </c>
      <c r="F505">
        <v>21769</v>
      </c>
      <c r="G505">
        <v>2</v>
      </c>
      <c r="H505">
        <v>2</v>
      </c>
      <c r="I505" t="s">
        <v>15</v>
      </c>
      <c r="J505" t="str">
        <f t="shared" si="7"/>
        <v>Junior</v>
      </c>
    </row>
    <row r="506" spans="1:10" ht="15.75" customHeight="1" x14ac:dyDescent="0.25">
      <c r="A506">
        <v>1505</v>
      </c>
      <c r="B506">
        <v>31</v>
      </c>
      <c r="C506" t="s">
        <v>10</v>
      </c>
      <c r="D506" t="s">
        <v>8</v>
      </c>
      <c r="E506" t="s">
        <v>13</v>
      </c>
      <c r="F506">
        <v>69912</v>
      </c>
      <c r="G506">
        <v>19</v>
      </c>
      <c r="H506">
        <v>2</v>
      </c>
      <c r="I506" t="s">
        <v>7</v>
      </c>
      <c r="J506" t="str">
        <f t="shared" si="7"/>
        <v>Senior</v>
      </c>
    </row>
    <row r="507" spans="1:10" ht="15.75" customHeight="1" x14ac:dyDescent="0.25">
      <c r="A507">
        <v>1506</v>
      </c>
      <c r="B507">
        <v>33</v>
      </c>
      <c r="C507" t="s">
        <v>4</v>
      </c>
      <c r="D507" t="s">
        <v>11</v>
      </c>
      <c r="E507" t="s">
        <v>14</v>
      </c>
      <c r="F507">
        <v>98352</v>
      </c>
      <c r="G507">
        <v>18</v>
      </c>
      <c r="H507">
        <v>3</v>
      </c>
      <c r="I507" t="s">
        <v>7</v>
      </c>
      <c r="J507" t="str">
        <f t="shared" si="7"/>
        <v>Senior</v>
      </c>
    </row>
    <row r="508" spans="1:10" ht="15.75" customHeight="1" x14ac:dyDescent="0.25">
      <c r="A508">
        <v>1507</v>
      </c>
      <c r="B508">
        <v>54</v>
      </c>
      <c r="C508" t="s">
        <v>10</v>
      </c>
      <c r="D508" t="s">
        <v>11</v>
      </c>
      <c r="E508" t="s">
        <v>14</v>
      </c>
      <c r="F508">
        <v>79650</v>
      </c>
      <c r="G508">
        <v>14</v>
      </c>
      <c r="H508">
        <v>1</v>
      </c>
      <c r="I508" t="s">
        <v>7</v>
      </c>
      <c r="J508" t="str">
        <f t="shared" si="7"/>
        <v>Senior</v>
      </c>
    </row>
    <row r="509" spans="1:10" ht="15.75" customHeight="1" x14ac:dyDescent="0.25">
      <c r="A509">
        <v>1508</v>
      </c>
      <c r="B509">
        <v>57</v>
      </c>
      <c r="C509" t="s">
        <v>10</v>
      </c>
      <c r="D509" t="s">
        <v>8</v>
      </c>
      <c r="E509" t="s">
        <v>9</v>
      </c>
      <c r="F509">
        <v>72149</v>
      </c>
      <c r="G509">
        <v>12</v>
      </c>
      <c r="H509">
        <v>4</v>
      </c>
      <c r="I509" t="s">
        <v>7</v>
      </c>
      <c r="J509" t="str">
        <f t="shared" si="7"/>
        <v>Senior</v>
      </c>
    </row>
    <row r="510" spans="1:10" ht="15.75" customHeight="1" x14ac:dyDescent="0.25">
      <c r="A510">
        <v>1509</v>
      </c>
      <c r="B510">
        <v>25</v>
      </c>
      <c r="C510" t="s">
        <v>4</v>
      </c>
      <c r="D510" t="s">
        <v>8</v>
      </c>
      <c r="E510" t="s">
        <v>13</v>
      </c>
      <c r="F510">
        <v>69161</v>
      </c>
      <c r="G510">
        <v>14</v>
      </c>
      <c r="H510">
        <v>4</v>
      </c>
      <c r="I510" t="s">
        <v>15</v>
      </c>
      <c r="J510" t="str">
        <f t="shared" si="7"/>
        <v>Senior</v>
      </c>
    </row>
    <row r="511" spans="1:10" ht="15.75" customHeight="1" x14ac:dyDescent="0.25">
      <c r="A511">
        <v>1510</v>
      </c>
      <c r="B511">
        <v>57</v>
      </c>
      <c r="C511" t="s">
        <v>4</v>
      </c>
      <c r="D511" t="s">
        <v>21</v>
      </c>
      <c r="E511" t="s">
        <v>24</v>
      </c>
      <c r="F511">
        <v>93622</v>
      </c>
      <c r="G511">
        <v>14</v>
      </c>
      <c r="H511">
        <v>4</v>
      </c>
      <c r="I511" t="s">
        <v>7</v>
      </c>
      <c r="J511" t="str">
        <f t="shared" si="7"/>
        <v>Senior</v>
      </c>
    </row>
    <row r="512" spans="1:10" ht="15.75" customHeight="1" x14ac:dyDescent="0.25">
      <c r="A512">
        <v>1511</v>
      </c>
      <c r="B512">
        <v>41</v>
      </c>
      <c r="C512" t="s">
        <v>4</v>
      </c>
      <c r="D512" t="s">
        <v>8</v>
      </c>
      <c r="E512" t="s">
        <v>9</v>
      </c>
      <c r="F512">
        <v>109733</v>
      </c>
      <c r="G512">
        <v>9</v>
      </c>
      <c r="H512">
        <v>2</v>
      </c>
      <c r="I512" t="s">
        <v>7</v>
      </c>
      <c r="J512" t="str">
        <f t="shared" si="7"/>
        <v>Senior</v>
      </c>
    </row>
    <row r="513" spans="1:10" ht="15.75" customHeight="1" x14ac:dyDescent="0.25">
      <c r="A513">
        <v>1512</v>
      </c>
      <c r="B513">
        <v>37</v>
      </c>
      <c r="C513" t="s">
        <v>10</v>
      </c>
      <c r="D513" t="s">
        <v>21</v>
      </c>
      <c r="E513" t="s">
        <v>22</v>
      </c>
      <c r="F513">
        <v>118272</v>
      </c>
      <c r="G513">
        <v>20</v>
      </c>
      <c r="H513">
        <v>2</v>
      </c>
      <c r="I513" t="s">
        <v>15</v>
      </c>
      <c r="J513" t="str">
        <f t="shared" si="7"/>
        <v>Senior</v>
      </c>
    </row>
    <row r="514" spans="1:10" ht="15.75" customHeight="1" x14ac:dyDescent="0.25">
      <c r="A514">
        <v>1513</v>
      </c>
      <c r="B514">
        <v>56</v>
      </c>
      <c r="C514" t="s">
        <v>4</v>
      </c>
      <c r="D514" t="s">
        <v>21</v>
      </c>
      <c r="E514" t="s">
        <v>22</v>
      </c>
      <c r="F514">
        <v>94158</v>
      </c>
      <c r="G514">
        <v>19</v>
      </c>
      <c r="H514">
        <v>1</v>
      </c>
      <c r="I514" t="s">
        <v>7</v>
      </c>
      <c r="J514" t="str">
        <f t="shared" ref="J514:J577" si="8">IF(G514&lt;3,"Junior",IF(G514&lt;7,"Mid-Level","Senior"))</f>
        <v>Senior</v>
      </c>
    </row>
    <row r="515" spans="1:10" ht="15.75" customHeight="1" x14ac:dyDescent="0.25">
      <c r="A515">
        <v>1514</v>
      </c>
      <c r="B515">
        <v>53</v>
      </c>
      <c r="C515" t="s">
        <v>4</v>
      </c>
      <c r="D515" t="s">
        <v>16</v>
      </c>
      <c r="E515" t="s">
        <v>25</v>
      </c>
      <c r="F515">
        <v>44872</v>
      </c>
      <c r="G515">
        <v>18</v>
      </c>
      <c r="H515">
        <v>5</v>
      </c>
      <c r="I515" t="s">
        <v>7</v>
      </c>
      <c r="J515" t="str">
        <f t="shared" si="8"/>
        <v>Senior</v>
      </c>
    </row>
    <row r="516" spans="1:10" ht="15.75" customHeight="1" x14ac:dyDescent="0.25">
      <c r="A516">
        <v>1515</v>
      </c>
      <c r="B516">
        <v>27</v>
      </c>
      <c r="C516" t="s">
        <v>10</v>
      </c>
      <c r="D516" t="s">
        <v>21</v>
      </c>
      <c r="E516" t="s">
        <v>22</v>
      </c>
      <c r="F516">
        <v>75634</v>
      </c>
      <c r="G516">
        <v>2</v>
      </c>
      <c r="H516">
        <v>2</v>
      </c>
      <c r="I516" t="s">
        <v>7</v>
      </c>
      <c r="J516" t="str">
        <f t="shared" si="8"/>
        <v>Junior</v>
      </c>
    </row>
    <row r="517" spans="1:10" ht="15.75" customHeight="1" x14ac:dyDescent="0.25">
      <c r="A517">
        <v>1516</v>
      </c>
      <c r="B517">
        <v>34</v>
      </c>
      <c r="C517" t="s">
        <v>4</v>
      </c>
      <c r="D517" t="s">
        <v>11</v>
      </c>
      <c r="E517" t="s">
        <v>12</v>
      </c>
      <c r="F517">
        <v>82422</v>
      </c>
      <c r="G517">
        <v>2</v>
      </c>
      <c r="H517">
        <v>1</v>
      </c>
      <c r="I517" t="s">
        <v>7</v>
      </c>
      <c r="J517" t="str">
        <f t="shared" si="8"/>
        <v>Junior</v>
      </c>
    </row>
    <row r="518" spans="1:10" ht="15.75" customHeight="1" x14ac:dyDescent="0.25">
      <c r="A518">
        <v>1517</v>
      </c>
      <c r="B518">
        <v>31</v>
      </c>
      <c r="C518" t="s">
        <v>4</v>
      </c>
      <c r="D518" t="s">
        <v>8</v>
      </c>
      <c r="E518" t="s">
        <v>9</v>
      </c>
      <c r="F518">
        <v>83778</v>
      </c>
      <c r="G518">
        <v>13</v>
      </c>
      <c r="H518">
        <v>1</v>
      </c>
      <c r="I518" t="s">
        <v>15</v>
      </c>
      <c r="J518" t="str">
        <f t="shared" si="8"/>
        <v>Senior</v>
      </c>
    </row>
    <row r="519" spans="1:10" ht="15.75" customHeight="1" x14ac:dyDescent="0.25">
      <c r="A519">
        <v>1518</v>
      </c>
      <c r="B519">
        <v>31</v>
      </c>
      <c r="C519" t="s">
        <v>10</v>
      </c>
      <c r="D519" t="s">
        <v>21</v>
      </c>
      <c r="E519" t="s">
        <v>22</v>
      </c>
      <c r="F519">
        <v>72988</v>
      </c>
      <c r="G519">
        <v>2</v>
      </c>
      <c r="H519">
        <v>1</v>
      </c>
      <c r="I519" t="s">
        <v>15</v>
      </c>
      <c r="J519" t="str">
        <f t="shared" si="8"/>
        <v>Junior</v>
      </c>
    </row>
    <row r="520" spans="1:10" ht="15.75" customHeight="1" x14ac:dyDescent="0.25">
      <c r="A520">
        <v>1519</v>
      </c>
      <c r="B520">
        <v>37</v>
      </c>
      <c r="C520" t="s">
        <v>10</v>
      </c>
      <c r="D520" t="s">
        <v>18</v>
      </c>
      <c r="E520" t="s">
        <v>23</v>
      </c>
      <c r="F520">
        <v>84572</v>
      </c>
      <c r="G520">
        <v>19</v>
      </c>
      <c r="H520">
        <v>5</v>
      </c>
      <c r="I520" t="s">
        <v>15</v>
      </c>
      <c r="J520" t="str">
        <f t="shared" si="8"/>
        <v>Senior</v>
      </c>
    </row>
    <row r="521" spans="1:10" ht="15.75" customHeight="1" x14ac:dyDescent="0.25">
      <c r="A521">
        <v>1520</v>
      </c>
      <c r="B521">
        <v>28</v>
      </c>
      <c r="C521" t="s">
        <v>10</v>
      </c>
      <c r="D521" t="s">
        <v>18</v>
      </c>
      <c r="E521" t="s">
        <v>23</v>
      </c>
      <c r="F521">
        <v>112441</v>
      </c>
      <c r="G521">
        <v>9</v>
      </c>
      <c r="H521">
        <v>5</v>
      </c>
      <c r="I521" t="s">
        <v>7</v>
      </c>
      <c r="J521" t="str">
        <f t="shared" si="8"/>
        <v>Senior</v>
      </c>
    </row>
    <row r="522" spans="1:10" ht="15.75" customHeight="1" x14ac:dyDescent="0.25">
      <c r="A522">
        <v>1521</v>
      </c>
      <c r="B522">
        <v>50</v>
      </c>
      <c r="C522" t="s">
        <v>4</v>
      </c>
      <c r="D522" t="s">
        <v>8</v>
      </c>
      <c r="E522" t="s">
        <v>9</v>
      </c>
      <c r="F522">
        <v>97592</v>
      </c>
      <c r="G522">
        <v>10</v>
      </c>
      <c r="H522">
        <v>4</v>
      </c>
      <c r="I522" t="s">
        <v>7</v>
      </c>
      <c r="J522" t="str">
        <f t="shared" si="8"/>
        <v>Senior</v>
      </c>
    </row>
    <row r="523" spans="1:10" ht="15.75" customHeight="1" x14ac:dyDescent="0.25">
      <c r="A523">
        <v>1522</v>
      </c>
      <c r="B523">
        <v>49</v>
      </c>
      <c r="C523" t="s">
        <v>10</v>
      </c>
      <c r="D523" t="s">
        <v>5</v>
      </c>
      <c r="E523" t="s">
        <v>20</v>
      </c>
      <c r="F523">
        <v>103543</v>
      </c>
      <c r="G523">
        <v>4</v>
      </c>
      <c r="H523">
        <v>4</v>
      </c>
      <c r="I523" t="s">
        <v>7</v>
      </c>
      <c r="J523" t="str">
        <f t="shared" si="8"/>
        <v>Mid-Level</v>
      </c>
    </row>
    <row r="524" spans="1:10" ht="15.75" customHeight="1" x14ac:dyDescent="0.25">
      <c r="A524">
        <v>1523</v>
      </c>
      <c r="B524">
        <v>36</v>
      </c>
      <c r="C524" t="s">
        <v>4</v>
      </c>
      <c r="D524" t="s">
        <v>21</v>
      </c>
      <c r="E524" t="s">
        <v>22</v>
      </c>
      <c r="F524">
        <v>67827</v>
      </c>
      <c r="G524">
        <v>4</v>
      </c>
      <c r="H524">
        <v>4</v>
      </c>
      <c r="I524" t="s">
        <v>15</v>
      </c>
      <c r="J524" t="str">
        <f t="shared" si="8"/>
        <v>Mid-Level</v>
      </c>
    </row>
    <row r="525" spans="1:10" ht="15.75" customHeight="1" x14ac:dyDescent="0.25">
      <c r="A525">
        <v>1524</v>
      </c>
      <c r="B525">
        <v>27</v>
      </c>
      <c r="C525" t="s">
        <v>4</v>
      </c>
      <c r="D525" t="s">
        <v>21</v>
      </c>
      <c r="E525" t="s">
        <v>24</v>
      </c>
      <c r="F525">
        <v>23747</v>
      </c>
      <c r="G525">
        <v>10</v>
      </c>
      <c r="H525">
        <v>4</v>
      </c>
      <c r="I525" t="s">
        <v>7</v>
      </c>
      <c r="J525" t="str">
        <f t="shared" si="8"/>
        <v>Senior</v>
      </c>
    </row>
    <row r="526" spans="1:10" ht="15.75" customHeight="1" x14ac:dyDescent="0.25">
      <c r="A526">
        <v>1525</v>
      </c>
      <c r="B526">
        <v>26</v>
      </c>
      <c r="C526" t="s">
        <v>4</v>
      </c>
      <c r="D526" t="s">
        <v>8</v>
      </c>
      <c r="E526" t="s">
        <v>9</v>
      </c>
      <c r="F526">
        <v>86880</v>
      </c>
      <c r="G526">
        <v>14</v>
      </c>
      <c r="H526">
        <v>4</v>
      </c>
      <c r="I526" t="s">
        <v>7</v>
      </c>
      <c r="J526" t="str">
        <f t="shared" si="8"/>
        <v>Senior</v>
      </c>
    </row>
    <row r="527" spans="1:10" ht="15.75" customHeight="1" x14ac:dyDescent="0.25">
      <c r="A527">
        <v>1526</v>
      </c>
      <c r="B527">
        <v>31</v>
      </c>
      <c r="C527" t="s">
        <v>4</v>
      </c>
      <c r="D527" t="s">
        <v>11</v>
      </c>
      <c r="E527" t="s">
        <v>12</v>
      </c>
      <c r="F527">
        <v>51945</v>
      </c>
      <c r="G527">
        <v>12</v>
      </c>
      <c r="H527">
        <v>2</v>
      </c>
      <c r="I527" t="s">
        <v>7</v>
      </c>
      <c r="J527" t="str">
        <f t="shared" si="8"/>
        <v>Senior</v>
      </c>
    </row>
    <row r="528" spans="1:10" ht="15.75" customHeight="1" x14ac:dyDescent="0.25">
      <c r="A528">
        <v>1527</v>
      </c>
      <c r="B528">
        <v>35</v>
      </c>
      <c r="C528" t="s">
        <v>10</v>
      </c>
      <c r="D528" t="s">
        <v>8</v>
      </c>
      <c r="E528" t="s">
        <v>13</v>
      </c>
      <c r="F528">
        <v>73829</v>
      </c>
      <c r="G528">
        <v>10</v>
      </c>
      <c r="H528">
        <v>3</v>
      </c>
      <c r="I528" t="s">
        <v>7</v>
      </c>
      <c r="J528" t="str">
        <f t="shared" si="8"/>
        <v>Senior</v>
      </c>
    </row>
    <row r="529" spans="1:10" ht="15.75" customHeight="1" x14ac:dyDescent="0.25">
      <c r="A529">
        <v>1528</v>
      </c>
      <c r="B529">
        <v>55</v>
      </c>
      <c r="C529" t="s">
        <v>4</v>
      </c>
      <c r="D529" t="s">
        <v>18</v>
      </c>
      <c r="E529" t="s">
        <v>19</v>
      </c>
      <c r="F529">
        <v>103392</v>
      </c>
      <c r="G529">
        <v>16</v>
      </c>
      <c r="H529">
        <v>3</v>
      </c>
      <c r="I529" t="s">
        <v>7</v>
      </c>
      <c r="J529" t="str">
        <f t="shared" si="8"/>
        <v>Senior</v>
      </c>
    </row>
    <row r="530" spans="1:10" ht="15.75" customHeight="1" x14ac:dyDescent="0.25">
      <c r="A530">
        <v>1529</v>
      </c>
      <c r="B530">
        <v>44</v>
      </c>
      <c r="C530" t="s">
        <v>10</v>
      </c>
      <c r="D530" t="s">
        <v>21</v>
      </c>
      <c r="E530" t="s">
        <v>22</v>
      </c>
      <c r="F530">
        <v>75657</v>
      </c>
      <c r="G530">
        <v>1</v>
      </c>
      <c r="H530">
        <v>4</v>
      </c>
      <c r="I530" t="s">
        <v>7</v>
      </c>
      <c r="J530" t="str">
        <f t="shared" si="8"/>
        <v>Junior</v>
      </c>
    </row>
    <row r="531" spans="1:10" ht="15.75" customHeight="1" x14ac:dyDescent="0.25">
      <c r="A531">
        <v>1530</v>
      </c>
      <c r="B531">
        <v>55</v>
      </c>
      <c r="C531" t="s">
        <v>10</v>
      </c>
      <c r="D531" t="s">
        <v>8</v>
      </c>
      <c r="E531" t="s">
        <v>13</v>
      </c>
      <c r="F531">
        <v>27009</v>
      </c>
      <c r="G531">
        <v>7</v>
      </c>
      <c r="H531">
        <v>5</v>
      </c>
      <c r="I531" t="s">
        <v>7</v>
      </c>
      <c r="J531" t="str">
        <f t="shared" si="8"/>
        <v>Senior</v>
      </c>
    </row>
    <row r="532" spans="1:10" ht="15.75" customHeight="1" x14ac:dyDescent="0.25">
      <c r="A532">
        <v>1531</v>
      </c>
      <c r="B532">
        <v>34</v>
      </c>
      <c r="C532" t="s">
        <v>4</v>
      </c>
      <c r="D532" t="s">
        <v>11</v>
      </c>
      <c r="E532" t="s">
        <v>14</v>
      </c>
      <c r="F532">
        <v>47870</v>
      </c>
      <c r="G532">
        <v>10</v>
      </c>
      <c r="H532">
        <v>1</v>
      </c>
      <c r="I532" t="s">
        <v>7</v>
      </c>
      <c r="J532" t="str">
        <f t="shared" si="8"/>
        <v>Senior</v>
      </c>
    </row>
    <row r="533" spans="1:10" ht="15.75" customHeight="1" x14ac:dyDescent="0.25">
      <c r="A533">
        <v>1532</v>
      </c>
      <c r="B533">
        <v>50</v>
      </c>
      <c r="C533" t="s">
        <v>10</v>
      </c>
      <c r="D533" t="s">
        <v>11</v>
      </c>
      <c r="E533" t="s">
        <v>12</v>
      </c>
      <c r="F533">
        <v>94787</v>
      </c>
      <c r="G533">
        <v>6</v>
      </c>
      <c r="H533">
        <v>5</v>
      </c>
      <c r="I533" t="s">
        <v>7</v>
      </c>
      <c r="J533" t="str">
        <f t="shared" si="8"/>
        <v>Mid-Level</v>
      </c>
    </row>
    <row r="534" spans="1:10" ht="15.75" customHeight="1" x14ac:dyDescent="0.25">
      <c r="A534">
        <v>1533</v>
      </c>
      <c r="B534">
        <v>24</v>
      </c>
      <c r="C534" t="s">
        <v>4</v>
      </c>
      <c r="D534" t="s">
        <v>8</v>
      </c>
      <c r="E534" t="s">
        <v>9</v>
      </c>
      <c r="F534">
        <v>43818</v>
      </c>
      <c r="G534">
        <v>15</v>
      </c>
      <c r="H534">
        <v>5</v>
      </c>
      <c r="I534" t="s">
        <v>7</v>
      </c>
      <c r="J534" t="str">
        <f t="shared" si="8"/>
        <v>Senior</v>
      </c>
    </row>
    <row r="535" spans="1:10" ht="15.75" customHeight="1" x14ac:dyDescent="0.25">
      <c r="A535">
        <v>1534</v>
      </c>
      <c r="B535">
        <v>51</v>
      </c>
      <c r="C535" t="s">
        <v>4</v>
      </c>
      <c r="D535" t="s">
        <v>18</v>
      </c>
      <c r="E535" t="s">
        <v>23</v>
      </c>
      <c r="F535">
        <v>86707</v>
      </c>
      <c r="G535">
        <v>10</v>
      </c>
      <c r="H535">
        <v>4</v>
      </c>
      <c r="I535" t="s">
        <v>7</v>
      </c>
      <c r="J535" t="str">
        <f t="shared" si="8"/>
        <v>Senior</v>
      </c>
    </row>
    <row r="536" spans="1:10" ht="15.75" customHeight="1" x14ac:dyDescent="0.25">
      <c r="A536">
        <v>1535</v>
      </c>
      <c r="B536">
        <v>43</v>
      </c>
      <c r="C536" t="s">
        <v>4</v>
      </c>
      <c r="D536" t="s">
        <v>18</v>
      </c>
      <c r="E536" t="s">
        <v>23</v>
      </c>
      <c r="F536">
        <v>32717</v>
      </c>
      <c r="G536">
        <v>18</v>
      </c>
      <c r="H536">
        <v>2</v>
      </c>
      <c r="I536" t="s">
        <v>7</v>
      </c>
      <c r="J536" t="str">
        <f t="shared" si="8"/>
        <v>Senior</v>
      </c>
    </row>
    <row r="537" spans="1:10" ht="15.75" customHeight="1" x14ac:dyDescent="0.25">
      <c r="A537">
        <v>1536</v>
      </c>
      <c r="B537">
        <v>36</v>
      </c>
      <c r="C537" t="s">
        <v>4</v>
      </c>
      <c r="D537" t="s">
        <v>11</v>
      </c>
      <c r="E537" t="s">
        <v>12</v>
      </c>
      <c r="F537">
        <v>63706</v>
      </c>
      <c r="G537">
        <v>15</v>
      </c>
      <c r="H537">
        <v>1</v>
      </c>
      <c r="I537" t="s">
        <v>7</v>
      </c>
      <c r="J537" t="str">
        <f t="shared" si="8"/>
        <v>Senior</v>
      </c>
    </row>
    <row r="538" spans="1:10" ht="15.75" customHeight="1" x14ac:dyDescent="0.25">
      <c r="A538">
        <v>1537</v>
      </c>
      <c r="B538">
        <v>34</v>
      </c>
      <c r="C538" t="s">
        <v>4</v>
      </c>
      <c r="D538" t="s">
        <v>11</v>
      </c>
      <c r="E538" t="s">
        <v>14</v>
      </c>
      <c r="F538">
        <v>26948</v>
      </c>
      <c r="G538">
        <v>14</v>
      </c>
      <c r="H538">
        <v>4</v>
      </c>
      <c r="I538" t="s">
        <v>7</v>
      </c>
      <c r="J538" t="str">
        <f t="shared" si="8"/>
        <v>Senior</v>
      </c>
    </row>
    <row r="539" spans="1:10" ht="15.75" customHeight="1" x14ac:dyDescent="0.25">
      <c r="A539">
        <v>1538</v>
      </c>
      <c r="B539">
        <v>39</v>
      </c>
      <c r="C539" t="s">
        <v>10</v>
      </c>
      <c r="D539" t="s">
        <v>21</v>
      </c>
      <c r="E539" t="s">
        <v>24</v>
      </c>
      <c r="F539">
        <v>119727</v>
      </c>
      <c r="G539">
        <v>5</v>
      </c>
      <c r="H539">
        <v>2</v>
      </c>
      <c r="I539" t="s">
        <v>7</v>
      </c>
      <c r="J539" t="str">
        <f t="shared" si="8"/>
        <v>Mid-Level</v>
      </c>
    </row>
    <row r="540" spans="1:10" ht="15.75" customHeight="1" x14ac:dyDescent="0.25">
      <c r="A540">
        <v>1539</v>
      </c>
      <c r="B540">
        <v>57</v>
      </c>
      <c r="C540" t="s">
        <v>10</v>
      </c>
      <c r="D540" t="s">
        <v>18</v>
      </c>
      <c r="E540" t="s">
        <v>19</v>
      </c>
      <c r="F540">
        <v>53308</v>
      </c>
      <c r="G540">
        <v>16</v>
      </c>
      <c r="H540">
        <v>5</v>
      </c>
      <c r="I540" t="s">
        <v>7</v>
      </c>
      <c r="J540" t="str">
        <f t="shared" si="8"/>
        <v>Senior</v>
      </c>
    </row>
    <row r="541" spans="1:10" ht="15.75" customHeight="1" x14ac:dyDescent="0.25">
      <c r="A541">
        <v>1540</v>
      </c>
      <c r="B541">
        <v>37</v>
      </c>
      <c r="C541" t="s">
        <v>4</v>
      </c>
      <c r="D541" t="s">
        <v>21</v>
      </c>
      <c r="E541" t="s">
        <v>24</v>
      </c>
      <c r="F541">
        <v>55601</v>
      </c>
      <c r="G541">
        <v>6</v>
      </c>
      <c r="H541">
        <v>2</v>
      </c>
      <c r="I541" t="s">
        <v>15</v>
      </c>
      <c r="J541" t="str">
        <f t="shared" si="8"/>
        <v>Mid-Level</v>
      </c>
    </row>
    <row r="542" spans="1:10" ht="15.75" customHeight="1" x14ac:dyDescent="0.25">
      <c r="A542">
        <v>1541</v>
      </c>
      <c r="B542">
        <v>51</v>
      </c>
      <c r="C542" t="s">
        <v>4</v>
      </c>
      <c r="D542" t="s">
        <v>21</v>
      </c>
      <c r="E542" t="s">
        <v>22</v>
      </c>
      <c r="F542">
        <v>117375</v>
      </c>
      <c r="G542">
        <v>7</v>
      </c>
      <c r="H542">
        <v>3</v>
      </c>
      <c r="I542" t="s">
        <v>15</v>
      </c>
      <c r="J542" t="str">
        <f t="shared" si="8"/>
        <v>Senior</v>
      </c>
    </row>
    <row r="543" spans="1:10" ht="15.75" customHeight="1" x14ac:dyDescent="0.25">
      <c r="A543">
        <v>1542</v>
      </c>
      <c r="B543">
        <v>34</v>
      </c>
      <c r="C543" t="s">
        <v>10</v>
      </c>
      <c r="D543" t="s">
        <v>8</v>
      </c>
      <c r="E543" t="s">
        <v>9</v>
      </c>
      <c r="F543">
        <v>33301</v>
      </c>
      <c r="G543">
        <v>20</v>
      </c>
      <c r="H543">
        <v>5</v>
      </c>
      <c r="I543" t="s">
        <v>7</v>
      </c>
      <c r="J543" t="str">
        <f t="shared" si="8"/>
        <v>Senior</v>
      </c>
    </row>
    <row r="544" spans="1:10" ht="15.75" customHeight="1" x14ac:dyDescent="0.25">
      <c r="A544">
        <v>1543</v>
      </c>
      <c r="B544">
        <v>38</v>
      </c>
      <c r="C544" t="s">
        <v>4</v>
      </c>
      <c r="D544" t="s">
        <v>16</v>
      </c>
      <c r="E544" t="s">
        <v>17</v>
      </c>
      <c r="F544">
        <v>93450</v>
      </c>
      <c r="G544">
        <v>6</v>
      </c>
      <c r="H544">
        <v>3</v>
      </c>
      <c r="I544" t="s">
        <v>7</v>
      </c>
      <c r="J544" t="str">
        <f t="shared" si="8"/>
        <v>Mid-Level</v>
      </c>
    </row>
    <row r="545" spans="1:10" ht="15.75" customHeight="1" x14ac:dyDescent="0.25">
      <c r="A545">
        <v>1544</v>
      </c>
      <c r="B545">
        <v>39</v>
      </c>
      <c r="C545" t="s">
        <v>10</v>
      </c>
      <c r="D545" t="s">
        <v>5</v>
      </c>
      <c r="E545" t="s">
        <v>6</v>
      </c>
      <c r="F545">
        <v>56434</v>
      </c>
      <c r="G545">
        <v>11</v>
      </c>
      <c r="H545">
        <v>1</v>
      </c>
      <c r="I545" t="s">
        <v>7</v>
      </c>
      <c r="J545" t="str">
        <f t="shared" si="8"/>
        <v>Senior</v>
      </c>
    </row>
    <row r="546" spans="1:10" ht="15.75" customHeight="1" x14ac:dyDescent="0.25">
      <c r="A546">
        <v>1545</v>
      </c>
      <c r="B546">
        <v>23</v>
      </c>
      <c r="C546" t="s">
        <v>10</v>
      </c>
      <c r="D546" t="s">
        <v>8</v>
      </c>
      <c r="E546" t="s">
        <v>13</v>
      </c>
      <c r="F546">
        <v>114412</v>
      </c>
      <c r="G546">
        <v>18</v>
      </c>
      <c r="H546">
        <v>3</v>
      </c>
      <c r="I546" t="s">
        <v>7</v>
      </c>
      <c r="J546" t="str">
        <f t="shared" si="8"/>
        <v>Senior</v>
      </c>
    </row>
    <row r="547" spans="1:10" ht="15.75" customHeight="1" x14ac:dyDescent="0.25">
      <c r="A547">
        <v>1546</v>
      </c>
      <c r="B547">
        <v>47</v>
      </c>
      <c r="C547" t="s">
        <v>4</v>
      </c>
      <c r="D547" t="s">
        <v>8</v>
      </c>
      <c r="E547" t="s">
        <v>9</v>
      </c>
      <c r="F547">
        <v>73336</v>
      </c>
      <c r="G547">
        <v>12</v>
      </c>
      <c r="H547">
        <v>5</v>
      </c>
      <c r="I547" t="s">
        <v>15</v>
      </c>
      <c r="J547" t="str">
        <f t="shared" si="8"/>
        <v>Senior</v>
      </c>
    </row>
    <row r="548" spans="1:10" ht="15.75" customHeight="1" x14ac:dyDescent="0.25">
      <c r="A548">
        <v>1547</v>
      </c>
      <c r="B548">
        <v>51</v>
      </c>
      <c r="C548" t="s">
        <v>4</v>
      </c>
      <c r="D548" t="s">
        <v>16</v>
      </c>
      <c r="E548" t="s">
        <v>25</v>
      </c>
      <c r="F548">
        <v>25649</v>
      </c>
      <c r="G548">
        <v>2</v>
      </c>
      <c r="H548">
        <v>2</v>
      </c>
      <c r="I548" t="s">
        <v>7</v>
      </c>
      <c r="J548" t="str">
        <f t="shared" si="8"/>
        <v>Junior</v>
      </c>
    </row>
    <row r="549" spans="1:10" ht="15.75" customHeight="1" x14ac:dyDescent="0.25">
      <c r="A549">
        <v>1548</v>
      </c>
      <c r="B549">
        <v>43</v>
      </c>
      <c r="C549" t="s">
        <v>4</v>
      </c>
      <c r="D549" t="s">
        <v>8</v>
      </c>
      <c r="E549" t="s">
        <v>9</v>
      </c>
      <c r="F549">
        <v>108838</v>
      </c>
      <c r="G549">
        <v>5</v>
      </c>
      <c r="H549">
        <v>3</v>
      </c>
      <c r="I549" t="s">
        <v>7</v>
      </c>
      <c r="J549" t="str">
        <f t="shared" si="8"/>
        <v>Mid-Level</v>
      </c>
    </row>
    <row r="550" spans="1:10" ht="15.75" customHeight="1" x14ac:dyDescent="0.25">
      <c r="A550">
        <v>1549</v>
      </c>
      <c r="B550">
        <v>30</v>
      </c>
      <c r="C550" t="s">
        <v>4</v>
      </c>
      <c r="D550" t="s">
        <v>5</v>
      </c>
      <c r="E550" t="s">
        <v>26</v>
      </c>
      <c r="F550">
        <v>23767</v>
      </c>
      <c r="G550">
        <v>16</v>
      </c>
      <c r="H550">
        <v>1</v>
      </c>
      <c r="I550" t="s">
        <v>7</v>
      </c>
      <c r="J550" t="str">
        <f t="shared" si="8"/>
        <v>Senior</v>
      </c>
    </row>
    <row r="551" spans="1:10" ht="15.75" customHeight="1" x14ac:dyDescent="0.25">
      <c r="A551">
        <v>1550</v>
      </c>
      <c r="B551">
        <v>26</v>
      </c>
      <c r="C551" t="s">
        <v>10</v>
      </c>
      <c r="D551" t="s">
        <v>8</v>
      </c>
      <c r="E551" t="s">
        <v>13</v>
      </c>
      <c r="F551">
        <v>47959</v>
      </c>
      <c r="G551">
        <v>10</v>
      </c>
      <c r="H551">
        <v>5</v>
      </c>
      <c r="I551" t="s">
        <v>7</v>
      </c>
      <c r="J551" t="str">
        <f t="shared" si="8"/>
        <v>Senior</v>
      </c>
    </row>
    <row r="552" spans="1:10" ht="15.75" customHeight="1" x14ac:dyDescent="0.25">
      <c r="A552">
        <v>1551</v>
      </c>
      <c r="B552">
        <v>49</v>
      </c>
      <c r="C552" t="s">
        <v>4</v>
      </c>
      <c r="D552" t="s">
        <v>8</v>
      </c>
      <c r="E552" t="s">
        <v>9</v>
      </c>
      <c r="F552">
        <v>88331</v>
      </c>
      <c r="G552">
        <v>11</v>
      </c>
      <c r="H552">
        <v>1</v>
      </c>
      <c r="I552" t="s">
        <v>7</v>
      </c>
      <c r="J552" t="str">
        <f t="shared" si="8"/>
        <v>Senior</v>
      </c>
    </row>
    <row r="553" spans="1:10" ht="15.75" customHeight="1" x14ac:dyDescent="0.25">
      <c r="A553">
        <v>1552</v>
      </c>
      <c r="B553">
        <v>49</v>
      </c>
      <c r="C553" t="s">
        <v>4</v>
      </c>
      <c r="D553" t="s">
        <v>8</v>
      </c>
      <c r="E553" t="s">
        <v>9</v>
      </c>
      <c r="F553">
        <v>20907</v>
      </c>
      <c r="G553">
        <v>1</v>
      </c>
      <c r="H553">
        <v>1</v>
      </c>
      <c r="I553" t="s">
        <v>7</v>
      </c>
      <c r="J553" t="str">
        <f t="shared" si="8"/>
        <v>Junior</v>
      </c>
    </row>
    <row r="554" spans="1:10" ht="15.75" customHeight="1" x14ac:dyDescent="0.25">
      <c r="A554">
        <v>1553</v>
      </c>
      <c r="B554">
        <v>50</v>
      </c>
      <c r="C554" t="s">
        <v>4</v>
      </c>
      <c r="D554" t="s">
        <v>21</v>
      </c>
      <c r="E554" t="s">
        <v>24</v>
      </c>
      <c r="F554">
        <v>72925</v>
      </c>
      <c r="G554">
        <v>9</v>
      </c>
      <c r="H554">
        <v>2</v>
      </c>
      <c r="I554" t="s">
        <v>7</v>
      </c>
      <c r="J554" t="str">
        <f t="shared" si="8"/>
        <v>Senior</v>
      </c>
    </row>
    <row r="555" spans="1:10" ht="15.75" customHeight="1" x14ac:dyDescent="0.25">
      <c r="A555">
        <v>1554</v>
      </c>
      <c r="B555">
        <v>39</v>
      </c>
      <c r="C555" t="s">
        <v>4</v>
      </c>
      <c r="D555" t="s">
        <v>11</v>
      </c>
      <c r="E555" t="s">
        <v>12</v>
      </c>
      <c r="F555">
        <v>119374</v>
      </c>
      <c r="G555">
        <v>15</v>
      </c>
      <c r="H555">
        <v>4</v>
      </c>
      <c r="I555" t="s">
        <v>7</v>
      </c>
      <c r="J555" t="str">
        <f t="shared" si="8"/>
        <v>Senior</v>
      </c>
    </row>
    <row r="556" spans="1:10" ht="15.75" customHeight="1" x14ac:dyDescent="0.25">
      <c r="A556">
        <v>1555</v>
      </c>
      <c r="B556">
        <v>37</v>
      </c>
      <c r="C556" t="s">
        <v>4</v>
      </c>
      <c r="D556" t="s">
        <v>8</v>
      </c>
      <c r="E556" t="s">
        <v>9</v>
      </c>
      <c r="F556">
        <v>86047</v>
      </c>
      <c r="G556">
        <v>9</v>
      </c>
      <c r="H556">
        <v>5</v>
      </c>
      <c r="I556" t="s">
        <v>7</v>
      </c>
      <c r="J556" t="str">
        <f t="shared" si="8"/>
        <v>Senior</v>
      </c>
    </row>
    <row r="557" spans="1:10" ht="15.75" customHeight="1" x14ac:dyDescent="0.25">
      <c r="A557">
        <v>1556</v>
      </c>
      <c r="B557">
        <v>29</v>
      </c>
      <c r="C557" t="s">
        <v>4</v>
      </c>
      <c r="D557" t="s">
        <v>8</v>
      </c>
      <c r="E557" t="s">
        <v>13</v>
      </c>
      <c r="F557">
        <v>69040</v>
      </c>
      <c r="G557">
        <v>9</v>
      </c>
      <c r="H557">
        <v>5</v>
      </c>
      <c r="I557" t="s">
        <v>15</v>
      </c>
      <c r="J557" t="str">
        <f t="shared" si="8"/>
        <v>Senior</v>
      </c>
    </row>
    <row r="558" spans="1:10" ht="15.75" customHeight="1" x14ac:dyDescent="0.25">
      <c r="A558">
        <v>1557</v>
      </c>
      <c r="B558">
        <v>51</v>
      </c>
      <c r="C558" t="s">
        <v>10</v>
      </c>
      <c r="D558" t="s">
        <v>18</v>
      </c>
      <c r="E558" t="s">
        <v>19</v>
      </c>
      <c r="F558">
        <v>75878</v>
      </c>
      <c r="G558">
        <v>15</v>
      </c>
      <c r="H558">
        <v>3</v>
      </c>
      <c r="I558" t="s">
        <v>7</v>
      </c>
      <c r="J558" t="str">
        <f t="shared" si="8"/>
        <v>Senior</v>
      </c>
    </row>
    <row r="559" spans="1:10" ht="15.75" customHeight="1" x14ac:dyDescent="0.25">
      <c r="A559">
        <v>1558</v>
      </c>
      <c r="B559">
        <v>23</v>
      </c>
      <c r="C559" t="s">
        <v>10</v>
      </c>
      <c r="D559" t="s">
        <v>11</v>
      </c>
      <c r="E559" t="s">
        <v>14</v>
      </c>
      <c r="F559">
        <v>115522</v>
      </c>
      <c r="G559">
        <v>16</v>
      </c>
      <c r="H559">
        <v>1</v>
      </c>
      <c r="I559" t="s">
        <v>7</v>
      </c>
      <c r="J559" t="str">
        <f t="shared" si="8"/>
        <v>Senior</v>
      </c>
    </row>
    <row r="560" spans="1:10" ht="15.75" customHeight="1" x14ac:dyDescent="0.25">
      <c r="A560">
        <v>1559</v>
      </c>
      <c r="B560">
        <v>32</v>
      </c>
      <c r="C560" t="s">
        <v>4</v>
      </c>
      <c r="D560" t="s">
        <v>11</v>
      </c>
      <c r="E560" t="s">
        <v>14</v>
      </c>
      <c r="F560">
        <v>54925</v>
      </c>
      <c r="G560">
        <v>8</v>
      </c>
      <c r="H560">
        <v>4</v>
      </c>
      <c r="I560" t="s">
        <v>7</v>
      </c>
      <c r="J560" t="str">
        <f t="shared" si="8"/>
        <v>Senior</v>
      </c>
    </row>
    <row r="561" spans="1:10" ht="15.75" customHeight="1" x14ac:dyDescent="0.25">
      <c r="A561">
        <v>1560</v>
      </c>
      <c r="B561">
        <v>24</v>
      </c>
      <c r="C561" t="s">
        <v>4</v>
      </c>
      <c r="D561" t="s">
        <v>21</v>
      </c>
      <c r="E561" t="s">
        <v>22</v>
      </c>
      <c r="F561">
        <v>30880</v>
      </c>
      <c r="G561">
        <v>10</v>
      </c>
      <c r="H561">
        <v>4</v>
      </c>
      <c r="I561" t="s">
        <v>7</v>
      </c>
      <c r="J561" t="str">
        <f t="shared" si="8"/>
        <v>Senior</v>
      </c>
    </row>
    <row r="562" spans="1:10" ht="15.75" customHeight="1" x14ac:dyDescent="0.25">
      <c r="A562">
        <v>1561</v>
      </c>
      <c r="B562">
        <v>36</v>
      </c>
      <c r="C562" t="s">
        <v>4</v>
      </c>
      <c r="D562" t="s">
        <v>18</v>
      </c>
      <c r="E562" t="s">
        <v>23</v>
      </c>
      <c r="F562">
        <v>85862</v>
      </c>
      <c r="G562">
        <v>20</v>
      </c>
      <c r="H562">
        <v>5</v>
      </c>
      <c r="I562" t="s">
        <v>15</v>
      </c>
      <c r="J562" t="str">
        <f t="shared" si="8"/>
        <v>Senior</v>
      </c>
    </row>
    <row r="563" spans="1:10" ht="15.75" customHeight="1" x14ac:dyDescent="0.25">
      <c r="A563">
        <v>1562</v>
      </c>
      <c r="B563">
        <v>54</v>
      </c>
      <c r="C563" t="s">
        <v>4</v>
      </c>
      <c r="D563" t="s">
        <v>21</v>
      </c>
      <c r="E563" t="s">
        <v>24</v>
      </c>
      <c r="F563">
        <v>21955</v>
      </c>
      <c r="G563">
        <v>19</v>
      </c>
      <c r="H563">
        <v>5</v>
      </c>
      <c r="I563" t="s">
        <v>7</v>
      </c>
      <c r="J563" t="str">
        <f t="shared" si="8"/>
        <v>Senior</v>
      </c>
    </row>
    <row r="564" spans="1:10" ht="15.75" customHeight="1" x14ac:dyDescent="0.25">
      <c r="A564">
        <v>1563</v>
      </c>
      <c r="B564">
        <v>34</v>
      </c>
      <c r="C564" t="s">
        <v>4</v>
      </c>
      <c r="D564" t="s">
        <v>18</v>
      </c>
      <c r="E564" t="s">
        <v>19</v>
      </c>
      <c r="F564">
        <v>55449</v>
      </c>
      <c r="G564">
        <v>15</v>
      </c>
      <c r="H564">
        <v>2</v>
      </c>
      <c r="I564" t="s">
        <v>7</v>
      </c>
      <c r="J564" t="str">
        <f t="shared" si="8"/>
        <v>Senior</v>
      </c>
    </row>
    <row r="565" spans="1:10" ht="15.75" customHeight="1" x14ac:dyDescent="0.25">
      <c r="A565">
        <v>1564</v>
      </c>
      <c r="B565">
        <v>35</v>
      </c>
      <c r="C565" t="s">
        <v>4</v>
      </c>
      <c r="D565" t="s">
        <v>8</v>
      </c>
      <c r="E565" t="s">
        <v>13</v>
      </c>
      <c r="F565">
        <v>95533</v>
      </c>
      <c r="G565">
        <v>17</v>
      </c>
      <c r="H565">
        <v>3</v>
      </c>
      <c r="I565" t="s">
        <v>7</v>
      </c>
      <c r="J565" t="str">
        <f t="shared" si="8"/>
        <v>Senior</v>
      </c>
    </row>
    <row r="566" spans="1:10" ht="15.75" customHeight="1" x14ac:dyDescent="0.25">
      <c r="A566">
        <v>1565</v>
      </c>
      <c r="B566">
        <v>49</v>
      </c>
      <c r="C566" t="s">
        <v>4</v>
      </c>
      <c r="D566" t="s">
        <v>21</v>
      </c>
      <c r="E566" t="s">
        <v>22</v>
      </c>
      <c r="F566">
        <v>111319</v>
      </c>
      <c r="G566">
        <v>14</v>
      </c>
      <c r="H566">
        <v>3</v>
      </c>
      <c r="I566" t="s">
        <v>7</v>
      </c>
      <c r="J566" t="str">
        <f t="shared" si="8"/>
        <v>Senior</v>
      </c>
    </row>
    <row r="567" spans="1:10" ht="15.75" customHeight="1" x14ac:dyDescent="0.25">
      <c r="A567">
        <v>1566</v>
      </c>
      <c r="B567">
        <v>27</v>
      </c>
      <c r="C567" t="s">
        <v>4</v>
      </c>
      <c r="D567" t="s">
        <v>5</v>
      </c>
      <c r="E567" t="s">
        <v>6</v>
      </c>
      <c r="F567">
        <v>55080</v>
      </c>
      <c r="G567">
        <v>11</v>
      </c>
      <c r="H567">
        <v>4</v>
      </c>
      <c r="I567" t="s">
        <v>7</v>
      </c>
      <c r="J567" t="str">
        <f t="shared" si="8"/>
        <v>Senior</v>
      </c>
    </row>
    <row r="568" spans="1:10" ht="15.75" customHeight="1" x14ac:dyDescent="0.25">
      <c r="A568">
        <v>1567</v>
      </c>
      <c r="B568">
        <v>41</v>
      </c>
      <c r="C568" t="s">
        <v>4</v>
      </c>
      <c r="D568" t="s">
        <v>16</v>
      </c>
      <c r="E568" t="s">
        <v>25</v>
      </c>
      <c r="F568">
        <v>98106</v>
      </c>
      <c r="G568">
        <v>18</v>
      </c>
      <c r="H568">
        <v>5</v>
      </c>
      <c r="I568" t="s">
        <v>7</v>
      </c>
      <c r="J568" t="str">
        <f t="shared" si="8"/>
        <v>Senior</v>
      </c>
    </row>
    <row r="569" spans="1:10" ht="15.75" customHeight="1" x14ac:dyDescent="0.25">
      <c r="A569">
        <v>1568</v>
      </c>
      <c r="B569">
        <v>23</v>
      </c>
      <c r="C569" t="s">
        <v>4</v>
      </c>
      <c r="D569" t="s">
        <v>11</v>
      </c>
      <c r="E569" t="s">
        <v>14</v>
      </c>
      <c r="F569">
        <v>76047</v>
      </c>
      <c r="G569">
        <v>17</v>
      </c>
      <c r="H569">
        <v>5</v>
      </c>
      <c r="I569" t="s">
        <v>7</v>
      </c>
      <c r="J569" t="str">
        <f t="shared" si="8"/>
        <v>Senior</v>
      </c>
    </row>
    <row r="570" spans="1:10" ht="15.75" customHeight="1" x14ac:dyDescent="0.25">
      <c r="A570">
        <v>1569</v>
      </c>
      <c r="B570">
        <v>30</v>
      </c>
      <c r="C570" t="s">
        <v>4</v>
      </c>
      <c r="D570" t="s">
        <v>11</v>
      </c>
      <c r="E570" t="s">
        <v>14</v>
      </c>
      <c r="F570">
        <v>46573</v>
      </c>
      <c r="G570">
        <v>0</v>
      </c>
      <c r="H570">
        <v>2</v>
      </c>
      <c r="I570" t="s">
        <v>7</v>
      </c>
      <c r="J570" t="str">
        <f t="shared" si="8"/>
        <v>Junior</v>
      </c>
    </row>
    <row r="571" spans="1:10" ht="15.75" customHeight="1" x14ac:dyDescent="0.25">
      <c r="A571">
        <v>1570</v>
      </c>
      <c r="B571">
        <v>52</v>
      </c>
      <c r="C571" t="s">
        <v>10</v>
      </c>
      <c r="D571" t="s">
        <v>5</v>
      </c>
      <c r="E571" t="s">
        <v>26</v>
      </c>
      <c r="F571">
        <v>118058</v>
      </c>
      <c r="G571">
        <v>7</v>
      </c>
      <c r="H571">
        <v>4</v>
      </c>
      <c r="I571" t="s">
        <v>7</v>
      </c>
      <c r="J571" t="str">
        <f t="shared" si="8"/>
        <v>Senior</v>
      </c>
    </row>
    <row r="572" spans="1:10" ht="15.75" customHeight="1" x14ac:dyDescent="0.25">
      <c r="A572">
        <v>1571</v>
      </c>
      <c r="B572">
        <v>32</v>
      </c>
      <c r="C572" t="s">
        <v>4</v>
      </c>
      <c r="D572" t="s">
        <v>8</v>
      </c>
      <c r="E572" t="s">
        <v>13</v>
      </c>
      <c r="F572">
        <v>26105</v>
      </c>
      <c r="G572">
        <v>14</v>
      </c>
      <c r="H572">
        <v>2</v>
      </c>
      <c r="I572" t="s">
        <v>7</v>
      </c>
      <c r="J572" t="str">
        <f t="shared" si="8"/>
        <v>Senior</v>
      </c>
    </row>
    <row r="573" spans="1:10" ht="15.75" customHeight="1" x14ac:dyDescent="0.25">
      <c r="A573">
        <v>1572</v>
      </c>
      <c r="B573">
        <v>29</v>
      </c>
      <c r="C573" t="s">
        <v>4</v>
      </c>
      <c r="D573" t="s">
        <v>21</v>
      </c>
      <c r="E573" t="s">
        <v>22</v>
      </c>
      <c r="F573">
        <v>65687</v>
      </c>
      <c r="G573">
        <v>7</v>
      </c>
      <c r="H573">
        <v>5</v>
      </c>
      <c r="I573" t="s">
        <v>7</v>
      </c>
      <c r="J573" t="str">
        <f t="shared" si="8"/>
        <v>Senior</v>
      </c>
    </row>
    <row r="574" spans="1:10" ht="15.75" customHeight="1" x14ac:dyDescent="0.25">
      <c r="A574">
        <v>1573</v>
      </c>
      <c r="B574">
        <v>44</v>
      </c>
      <c r="C574" t="s">
        <v>4</v>
      </c>
      <c r="D574" t="s">
        <v>5</v>
      </c>
      <c r="E574" t="s">
        <v>26</v>
      </c>
      <c r="F574">
        <v>74525</v>
      </c>
      <c r="G574">
        <v>9</v>
      </c>
      <c r="H574">
        <v>1</v>
      </c>
      <c r="I574" t="s">
        <v>7</v>
      </c>
      <c r="J574" t="str">
        <f t="shared" si="8"/>
        <v>Senior</v>
      </c>
    </row>
    <row r="575" spans="1:10" ht="15.75" customHeight="1" x14ac:dyDescent="0.25">
      <c r="A575">
        <v>1574</v>
      </c>
      <c r="B575">
        <v>22</v>
      </c>
      <c r="C575" t="s">
        <v>10</v>
      </c>
      <c r="D575" t="s">
        <v>18</v>
      </c>
      <c r="E575" t="s">
        <v>23</v>
      </c>
      <c r="F575">
        <v>83448</v>
      </c>
      <c r="G575">
        <v>5</v>
      </c>
      <c r="H575">
        <v>2</v>
      </c>
      <c r="I575" t="s">
        <v>7</v>
      </c>
      <c r="J575" t="str">
        <f t="shared" si="8"/>
        <v>Mid-Level</v>
      </c>
    </row>
    <row r="576" spans="1:10" ht="15.75" customHeight="1" x14ac:dyDescent="0.25">
      <c r="A576">
        <v>1575</v>
      </c>
      <c r="B576">
        <v>25</v>
      </c>
      <c r="C576" t="s">
        <v>4</v>
      </c>
      <c r="D576" t="s">
        <v>11</v>
      </c>
      <c r="E576" t="s">
        <v>14</v>
      </c>
      <c r="F576">
        <v>118020</v>
      </c>
      <c r="G576">
        <v>15</v>
      </c>
      <c r="H576">
        <v>2</v>
      </c>
      <c r="I576" t="s">
        <v>7</v>
      </c>
      <c r="J576" t="str">
        <f t="shared" si="8"/>
        <v>Senior</v>
      </c>
    </row>
    <row r="577" spans="1:10" ht="15.75" customHeight="1" x14ac:dyDescent="0.25">
      <c r="A577">
        <v>1576</v>
      </c>
      <c r="B577">
        <v>37</v>
      </c>
      <c r="C577" t="s">
        <v>4</v>
      </c>
      <c r="D577" t="s">
        <v>8</v>
      </c>
      <c r="E577" t="s">
        <v>9</v>
      </c>
      <c r="F577">
        <v>94134</v>
      </c>
      <c r="G577">
        <v>10</v>
      </c>
      <c r="H577">
        <v>1</v>
      </c>
      <c r="I577" t="s">
        <v>15</v>
      </c>
      <c r="J577" t="str">
        <f t="shared" si="8"/>
        <v>Senior</v>
      </c>
    </row>
    <row r="578" spans="1:10" ht="15.75" customHeight="1" x14ac:dyDescent="0.25">
      <c r="A578">
        <v>1577</v>
      </c>
      <c r="B578">
        <v>31</v>
      </c>
      <c r="C578" t="s">
        <v>10</v>
      </c>
      <c r="D578" t="s">
        <v>8</v>
      </c>
      <c r="E578" t="s">
        <v>9</v>
      </c>
      <c r="F578">
        <v>93232</v>
      </c>
      <c r="G578">
        <v>7</v>
      </c>
      <c r="H578">
        <v>4</v>
      </c>
      <c r="I578" t="s">
        <v>7</v>
      </c>
      <c r="J578" t="str">
        <f t="shared" ref="J578:J641" si="9">IF(G578&lt;3,"Junior",IF(G578&lt;7,"Mid-Level","Senior"))</f>
        <v>Senior</v>
      </c>
    </row>
    <row r="579" spans="1:10" ht="15.75" customHeight="1" x14ac:dyDescent="0.25">
      <c r="A579">
        <v>1578</v>
      </c>
      <c r="B579">
        <v>26</v>
      </c>
      <c r="C579" t="s">
        <v>10</v>
      </c>
      <c r="D579" t="s">
        <v>11</v>
      </c>
      <c r="E579" t="s">
        <v>14</v>
      </c>
      <c r="F579">
        <v>112274</v>
      </c>
      <c r="G579">
        <v>7</v>
      </c>
      <c r="H579">
        <v>2</v>
      </c>
      <c r="I579" t="s">
        <v>7</v>
      </c>
      <c r="J579" t="str">
        <f t="shared" si="9"/>
        <v>Senior</v>
      </c>
    </row>
    <row r="580" spans="1:10" ht="15.75" customHeight="1" x14ac:dyDescent="0.25">
      <c r="A580">
        <v>1579</v>
      </c>
      <c r="B580">
        <v>31</v>
      </c>
      <c r="C580" t="s">
        <v>4</v>
      </c>
      <c r="D580" t="s">
        <v>16</v>
      </c>
      <c r="E580" t="s">
        <v>17</v>
      </c>
      <c r="F580">
        <v>118656</v>
      </c>
      <c r="G580">
        <v>14</v>
      </c>
      <c r="H580">
        <v>5</v>
      </c>
      <c r="I580" t="s">
        <v>7</v>
      </c>
      <c r="J580" t="str">
        <f t="shared" si="9"/>
        <v>Senior</v>
      </c>
    </row>
    <row r="581" spans="1:10" ht="15.75" customHeight="1" x14ac:dyDescent="0.25">
      <c r="A581">
        <v>1580</v>
      </c>
      <c r="B581">
        <v>44</v>
      </c>
      <c r="C581" t="s">
        <v>10</v>
      </c>
      <c r="D581" t="s">
        <v>16</v>
      </c>
      <c r="E581" t="s">
        <v>17</v>
      </c>
      <c r="F581">
        <v>73510</v>
      </c>
      <c r="G581">
        <v>8</v>
      </c>
      <c r="H581">
        <v>2</v>
      </c>
      <c r="I581" t="s">
        <v>7</v>
      </c>
      <c r="J581" t="str">
        <f t="shared" si="9"/>
        <v>Senior</v>
      </c>
    </row>
    <row r="582" spans="1:10" ht="15.75" customHeight="1" x14ac:dyDescent="0.25">
      <c r="A582">
        <v>1581</v>
      </c>
      <c r="B582">
        <v>49</v>
      </c>
      <c r="C582" t="s">
        <v>10</v>
      </c>
      <c r="D582" t="s">
        <v>8</v>
      </c>
      <c r="E582" t="s">
        <v>9</v>
      </c>
      <c r="F582">
        <v>69319</v>
      </c>
      <c r="G582">
        <v>11</v>
      </c>
      <c r="H582">
        <v>1</v>
      </c>
      <c r="I582" t="s">
        <v>7</v>
      </c>
      <c r="J582" t="str">
        <f t="shared" si="9"/>
        <v>Senior</v>
      </c>
    </row>
    <row r="583" spans="1:10" ht="15.75" customHeight="1" x14ac:dyDescent="0.25">
      <c r="A583">
        <v>1582</v>
      </c>
      <c r="B583">
        <v>30</v>
      </c>
      <c r="C583" t="s">
        <v>4</v>
      </c>
      <c r="D583" t="s">
        <v>5</v>
      </c>
      <c r="E583" t="s">
        <v>20</v>
      </c>
      <c r="F583">
        <v>24978</v>
      </c>
      <c r="G583">
        <v>19</v>
      </c>
      <c r="H583">
        <v>1</v>
      </c>
      <c r="I583" t="s">
        <v>7</v>
      </c>
      <c r="J583" t="str">
        <f t="shared" si="9"/>
        <v>Senior</v>
      </c>
    </row>
    <row r="584" spans="1:10" ht="15.75" customHeight="1" x14ac:dyDescent="0.25">
      <c r="A584">
        <v>1583</v>
      </c>
      <c r="B584">
        <v>23</v>
      </c>
      <c r="C584" t="s">
        <v>10</v>
      </c>
      <c r="D584" t="s">
        <v>8</v>
      </c>
      <c r="E584" t="s">
        <v>13</v>
      </c>
      <c r="F584">
        <v>57974</v>
      </c>
      <c r="G584">
        <v>2</v>
      </c>
      <c r="H584">
        <v>1</v>
      </c>
      <c r="I584" t="s">
        <v>7</v>
      </c>
      <c r="J584" t="str">
        <f t="shared" si="9"/>
        <v>Junior</v>
      </c>
    </row>
    <row r="585" spans="1:10" ht="15.75" customHeight="1" x14ac:dyDescent="0.25">
      <c r="A585">
        <v>1584</v>
      </c>
      <c r="B585">
        <v>54</v>
      </c>
      <c r="C585" t="s">
        <v>10</v>
      </c>
      <c r="D585" t="s">
        <v>21</v>
      </c>
      <c r="E585" t="s">
        <v>22</v>
      </c>
      <c r="F585">
        <v>66933</v>
      </c>
      <c r="G585">
        <v>16</v>
      </c>
      <c r="H585">
        <v>4</v>
      </c>
      <c r="I585" t="s">
        <v>7</v>
      </c>
      <c r="J585" t="str">
        <f t="shared" si="9"/>
        <v>Senior</v>
      </c>
    </row>
    <row r="586" spans="1:10" ht="15.75" customHeight="1" x14ac:dyDescent="0.25">
      <c r="A586">
        <v>1585</v>
      </c>
      <c r="B586">
        <v>54</v>
      </c>
      <c r="C586" t="s">
        <v>10</v>
      </c>
      <c r="D586" t="s">
        <v>8</v>
      </c>
      <c r="E586" t="s">
        <v>9</v>
      </c>
      <c r="F586">
        <v>24923</v>
      </c>
      <c r="G586">
        <v>16</v>
      </c>
      <c r="H586">
        <v>3</v>
      </c>
      <c r="I586" t="s">
        <v>7</v>
      </c>
      <c r="J586" t="str">
        <f t="shared" si="9"/>
        <v>Senior</v>
      </c>
    </row>
    <row r="587" spans="1:10" ht="15.75" customHeight="1" x14ac:dyDescent="0.25">
      <c r="A587">
        <v>1586</v>
      </c>
      <c r="B587">
        <v>29</v>
      </c>
      <c r="C587" t="s">
        <v>10</v>
      </c>
      <c r="D587" t="s">
        <v>18</v>
      </c>
      <c r="E587" t="s">
        <v>19</v>
      </c>
      <c r="F587">
        <v>40687</v>
      </c>
      <c r="G587">
        <v>14</v>
      </c>
      <c r="H587">
        <v>1</v>
      </c>
      <c r="I587" t="s">
        <v>7</v>
      </c>
      <c r="J587" t="str">
        <f t="shared" si="9"/>
        <v>Senior</v>
      </c>
    </row>
    <row r="588" spans="1:10" ht="15.75" customHeight="1" x14ac:dyDescent="0.25">
      <c r="A588">
        <v>1587</v>
      </c>
      <c r="B588">
        <v>40</v>
      </c>
      <c r="C588" t="s">
        <v>10</v>
      </c>
      <c r="D588" t="s">
        <v>18</v>
      </c>
      <c r="E588" t="s">
        <v>19</v>
      </c>
      <c r="F588">
        <v>37136</v>
      </c>
      <c r="G588">
        <v>10</v>
      </c>
      <c r="H588">
        <v>3</v>
      </c>
      <c r="I588" t="s">
        <v>7</v>
      </c>
      <c r="J588" t="str">
        <f t="shared" si="9"/>
        <v>Senior</v>
      </c>
    </row>
    <row r="589" spans="1:10" ht="15.75" customHeight="1" x14ac:dyDescent="0.25">
      <c r="A589">
        <v>1588</v>
      </c>
      <c r="B589">
        <v>34</v>
      </c>
      <c r="C589" t="s">
        <v>4</v>
      </c>
      <c r="D589" t="s">
        <v>16</v>
      </c>
      <c r="E589" t="s">
        <v>25</v>
      </c>
      <c r="F589">
        <v>70058</v>
      </c>
      <c r="G589">
        <v>17</v>
      </c>
      <c r="H589">
        <v>3</v>
      </c>
      <c r="I589" t="s">
        <v>15</v>
      </c>
      <c r="J589" t="str">
        <f t="shared" si="9"/>
        <v>Senior</v>
      </c>
    </row>
    <row r="590" spans="1:10" ht="15.75" customHeight="1" x14ac:dyDescent="0.25">
      <c r="A590">
        <v>1589</v>
      </c>
      <c r="B590">
        <v>23</v>
      </c>
      <c r="C590" t="s">
        <v>10</v>
      </c>
      <c r="D590" t="s">
        <v>5</v>
      </c>
      <c r="E590" t="s">
        <v>20</v>
      </c>
      <c r="F590">
        <v>92746</v>
      </c>
      <c r="G590">
        <v>5</v>
      </c>
      <c r="H590">
        <v>2</v>
      </c>
      <c r="I590" t="s">
        <v>7</v>
      </c>
      <c r="J590" t="str">
        <f t="shared" si="9"/>
        <v>Mid-Level</v>
      </c>
    </row>
    <row r="591" spans="1:10" ht="15.75" customHeight="1" x14ac:dyDescent="0.25">
      <c r="A591">
        <v>1590</v>
      </c>
      <c r="B591">
        <v>38</v>
      </c>
      <c r="C591" t="s">
        <v>10</v>
      </c>
      <c r="D591" t="s">
        <v>5</v>
      </c>
      <c r="E591" t="s">
        <v>20</v>
      </c>
      <c r="F591">
        <v>28697</v>
      </c>
      <c r="G591">
        <v>10</v>
      </c>
      <c r="H591">
        <v>4</v>
      </c>
      <c r="I591" t="s">
        <v>7</v>
      </c>
      <c r="J591" t="str">
        <f t="shared" si="9"/>
        <v>Senior</v>
      </c>
    </row>
    <row r="592" spans="1:10" ht="15.75" customHeight="1" x14ac:dyDescent="0.25">
      <c r="A592">
        <v>1591</v>
      </c>
      <c r="B592">
        <v>49</v>
      </c>
      <c r="C592" t="s">
        <v>10</v>
      </c>
      <c r="D592" t="s">
        <v>11</v>
      </c>
      <c r="E592" t="s">
        <v>14</v>
      </c>
      <c r="F592">
        <v>105707</v>
      </c>
      <c r="G592">
        <v>1</v>
      </c>
      <c r="H592">
        <v>2</v>
      </c>
      <c r="I592" t="s">
        <v>15</v>
      </c>
      <c r="J592" t="str">
        <f t="shared" si="9"/>
        <v>Junior</v>
      </c>
    </row>
    <row r="593" spans="1:10" ht="15.75" customHeight="1" x14ac:dyDescent="0.25">
      <c r="A593">
        <v>1592</v>
      </c>
      <c r="B593">
        <v>57</v>
      </c>
      <c r="C593" t="s">
        <v>4</v>
      </c>
      <c r="D593" t="s">
        <v>16</v>
      </c>
      <c r="E593" t="s">
        <v>25</v>
      </c>
      <c r="F593">
        <v>82566</v>
      </c>
      <c r="G593">
        <v>0</v>
      </c>
      <c r="H593">
        <v>5</v>
      </c>
      <c r="I593" t="s">
        <v>15</v>
      </c>
      <c r="J593" t="str">
        <f t="shared" si="9"/>
        <v>Junior</v>
      </c>
    </row>
    <row r="594" spans="1:10" ht="15.75" customHeight="1" x14ac:dyDescent="0.25">
      <c r="A594">
        <v>1593</v>
      </c>
      <c r="B594">
        <v>39</v>
      </c>
      <c r="C594" t="s">
        <v>10</v>
      </c>
      <c r="D594" t="s">
        <v>16</v>
      </c>
      <c r="E594" t="s">
        <v>17</v>
      </c>
      <c r="F594">
        <v>54928</v>
      </c>
      <c r="G594">
        <v>15</v>
      </c>
      <c r="H594">
        <v>2</v>
      </c>
      <c r="I594" t="s">
        <v>7</v>
      </c>
      <c r="J594" t="str">
        <f t="shared" si="9"/>
        <v>Senior</v>
      </c>
    </row>
    <row r="595" spans="1:10" ht="15.75" customHeight="1" x14ac:dyDescent="0.25">
      <c r="A595">
        <v>1594</v>
      </c>
      <c r="B595">
        <v>42</v>
      </c>
      <c r="C595" t="s">
        <v>4</v>
      </c>
      <c r="D595" t="s">
        <v>16</v>
      </c>
      <c r="E595" t="s">
        <v>17</v>
      </c>
      <c r="F595">
        <v>42170</v>
      </c>
      <c r="G595">
        <v>3</v>
      </c>
      <c r="H595">
        <v>4</v>
      </c>
      <c r="I595" t="s">
        <v>7</v>
      </c>
      <c r="J595" t="str">
        <f t="shared" si="9"/>
        <v>Mid-Level</v>
      </c>
    </row>
    <row r="596" spans="1:10" ht="15.75" customHeight="1" x14ac:dyDescent="0.25">
      <c r="A596">
        <v>1595</v>
      </c>
      <c r="B596">
        <v>55</v>
      </c>
      <c r="C596" t="s">
        <v>4</v>
      </c>
      <c r="D596" t="s">
        <v>5</v>
      </c>
      <c r="E596" t="s">
        <v>26</v>
      </c>
      <c r="F596">
        <v>51533</v>
      </c>
      <c r="G596">
        <v>1</v>
      </c>
      <c r="H596">
        <v>3</v>
      </c>
      <c r="I596" t="s">
        <v>15</v>
      </c>
      <c r="J596" t="str">
        <f t="shared" si="9"/>
        <v>Junior</v>
      </c>
    </row>
    <row r="597" spans="1:10" ht="15.75" customHeight="1" x14ac:dyDescent="0.25">
      <c r="A597">
        <v>1596</v>
      </c>
      <c r="B597">
        <v>44</v>
      </c>
      <c r="C597" t="s">
        <v>10</v>
      </c>
      <c r="D597" t="s">
        <v>11</v>
      </c>
      <c r="E597" t="s">
        <v>14</v>
      </c>
      <c r="F597">
        <v>78767</v>
      </c>
      <c r="G597">
        <v>12</v>
      </c>
      <c r="H597">
        <v>5</v>
      </c>
      <c r="I597" t="s">
        <v>7</v>
      </c>
      <c r="J597" t="str">
        <f t="shared" si="9"/>
        <v>Senior</v>
      </c>
    </row>
    <row r="598" spans="1:10" ht="15.75" customHeight="1" x14ac:dyDescent="0.25">
      <c r="A598">
        <v>1597</v>
      </c>
      <c r="B598">
        <v>26</v>
      </c>
      <c r="C598" t="s">
        <v>4</v>
      </c>
      <c r="D598" t="s">
        <v>21</v>
      </c>
      <c r="E598" t="s">
        <v>24</v>
      </c>
      <c r="F598">
        <v>105294</v>
      </c>
      <c r="G598">
        <v>9</v>
      </c>
      <c r="H598">
        <v>2</v>
      </c>
      <c r="I598" t="s">
        <v>7</v>
      </c>
      <c r="J598" t="str">
        <f t="shared" si="9"/>
        <v>Senior</v>
      </c>
    </row>
    <row r="599" spans="1:10" ht="15.75" customHeight="1" x14ac:dyDescent="0.25">
      <c r="A599">
        <v>1598</v>
      </c>
      <c r="B599">
        <v>44</v>
      </c>
      <c r="C599" t="s">
        <v>4</v>
      </c>
      <c r="D599" t="s">
        <v>21</v>
      </c>
      <c r="E599" t="s">
        <v>24</v>
      </c>
      <c r="F599">
        <v>86147</v>
      </c>
      <c r="G599">
        <v>0</v>
      </c>
      <c r="H599">
        <v>4</v>
      </c>
      <c r="I599" t="s">
        <v>7</v>
      </c>
      <c r="J599" t="str">
        <f t="shared" si="9"/>
        <v>Junior</v>
      </c>
    </row>
    <row r="600" spans="1:10" ht="15.75" customHeight="1" x14ac:dyDescent="0.25">
      <c r="A600">
        <v>1599</v>
      </c>
      <c r="B600">
        <v>30</v>
      </c>
      <c r="C600" t="s">
        <v>10</v>
      </c>
      <c r="D600" t="s">
        <v>8</v>
      </c>
      <c r="E600" t="s">
        <v>13</v>
      </c>
      <c r="F600">
        <v>116104</v>
      </c>
      <c r="G600">
        <v>11</v>
      </c>
      <c r="H600">
        <v>4</v>
      </c>
      <c r="I600" t="s">
        <v>7</v>
      </c>
      <c r="J600" t="str">
        <f t="shared" si="9"/>
        <v>Senior</v>
      </c>
    </row>
    <row r="601" spans="1:10" ht="15.75" customHeight="1" x14ac:dyDescent="0.25">
      <c r="A601">
        <v>1600</v>
      </c>
      <c r="B601">
        <v>46</v>
      </c>
      <c r="C601" t="s">
        <v>10</v>
      </c>
      <c r="D601" t="s">
        <v>8</v>
      </c>
      <c r="E601" t="s">
        <v>13</v>
      </c>
      <c r="F601">
        <v>48859</v>
      </c>
      <c r="G601">
        <v>14</v>
      </c>
      <c r="H601">
        <v>3</v>
      </c>
      <c r="I601" t="s">
        <v>7</v>
      </c>
      <c r="J601" t="str">
        <f t="shared" si="9"/>
        <v>Senior</v>
      </c>
    </row>
    <row r="602" spans="1:10" ht="15.75" customHeight="1" x14ac:dyDescent="0.25">
      <c r="A602">
        <v>1601</v>
      </c>
      <c r="B602">
        <v>36</v>
      </c>
      <c r="C602" t="s">
        <v>10</v>
      </c>
      <c r="D602" t="s">
        <v>18</v>
      </c>
      <c r="E602" t="s">
        <v>23</v>
      </c>
      <c r="F602">
        <v>111697</v>
      </c>
      <c r="G602">
        <v>12</v>
      </c>
      <c r="H602">
        <v>4</v>
      </c>
      <c r="I602" t="s">
        <v>7</v>
      </c>
      <c r="J602" t="str">
        <f t="shared" si="9"/>
        <v>Senior</v>
      </c>
    </row>
    <row r="603" spans="1:10" ht="15.75" customHeight="1" x14ac:dyDescent="0.25">
      <c r="A603">
        <v>1602</v>
      </c>
      <c r="B603">
        <v>26</v>
      </c>
      <c r="C603" t="s">
        <v>10</v>
      </c>
      <c r="D603" t="s">
        <v>5</v>
      </c>
      <c r="E603" t="s">
        <v>6</v>
      </c>
      <c r="F603">
        <v>49480</v>
      </c>
      <c r="G603">
        <v>8</v>
      </c>
      <c r="H603">
        <v>5</v>
      </c>
      <c r="I603" t="s">
        <v>7</v>
      </c>
      <c r="J603" t="str">
        <f t="shared" si="9"/>
        <v>Senior</v>
      </c>
    </row>
    <row r="604" spans="1:10" ht="15.75" customHeight="1" x14ac:dyDescent="0.25">
      <c r="A604">
        <v>1603</v>
      </c>
      <c r="B604">
        <v>57</v>
      </c>
      <c r="C604" t="s">
        <v>10</v>
      </c>
      <c r="D604" t="s">
        <v>16</v>
      </c>
      <c r="E604" t="s">
        <v>25</v>
      </c>
      <c r="F604">
        <v>97018</v>
      </c>
      <c r="G604">
        <v>14</v>
      </c>
      <c r="H604">
        <v>3</v>
      </c>
      <c r="I604" t="s">
        <v>7</v>
      </c>
      <c r="J604" t="str">
        <f t="shared" si="9"/>
        <v>Senior</v>
      </c>
    </row>
    <row r="605" spans="1:10" ht="15.75" customHeight="1" x14ac:dyDescent="0.25">
      <c r="A605">
        <v>1604</v>
      </c>
      <c r="B605">
        <v>44</v>
      </c>
      <c r="C605" t="s">
        <v>10</v>
      </c>
      <c r="D605" t="s">
        <v>5</v>
      </c>
      <c r="E605" t="s">
        <v>26</v>
      </c>
      <c r="F605">
        <v>113615</v>
      </c>
      <c r="G605">
        <v>5</v>
      </c>
      <c r="H605">
        <v>2</v>
      </c>
      <c r="I605" t="s">
        <v>7</v>
      </c>
      <c r="J605" t="str">
        <f t="shared" si="9"/>
        <v>Mid-Level</v>
      </c>
    </row>
    <row r="606" spans="1:10" ht="15.75" customHeight="1" x14ac:dyDescent="0.25">
      <c r="A606">
        <v>1605</v>
      </c>
      <c r="B606">
        <v>23</v>
      </c>
      <c r="C606" t="s">
        <v>10</v>
      </c>
      <c r="D606" t="s">
        <v>16</v>
      </c>
      <c r="E606" t="s">
        <v>25</v>
      </c>
      <c r="F606">
        <v>100844</v>
      </c>
      <c r="G606">
        <v>0</v>
      </c>
      <c r="H606">
        <v>1</v>
      </c>
      <c r="I606" t="s">
        <v>7</v>
      </c>
      <c r="J606" t="str">
        <f t="shared" si="9"/>
        <v>Junior</v>
      </c>
    </row>
    <row r="607" spans="1:10" ht="15.75" customHeight="1" x14ac:dyDescent="0.25">
      <c r="A607">
        <v>1606</v>
      </c>
      <c r="B607">
        <v>32</v>
      </c>
      <c r="C607" t="s">
        <v>10</v>
      </c>
      <c r="D607" t="s">
        <v>16</v>
      </c>
      <c r="E607" t="s">
        <v>25</v>
      </c>
      <c r="F607">
        <v>85832</v>
      </c>
      <c r="G607">
        <v>13</v>
      </c>
      <c r="H607">
        <v>5</v>
      </c>
      <c r="I607" t="s">
        <v>7</v>
      </c>
      <c r="J607" t="str">
        <f t="shared" si="9"/>
        <v>Senior</v>
      </c>
    </row>
    <row r="608" spans="1:10" ht="15.75" customHeight="1" x14ac:dyDescent="0.25">
      <c r="A608">
        <v>1607</v>
      </c>
      <c r="B608">
        <v>24</v>
      </c>
      <c r="C608" t="s">
        <v>4</v>
      </c>
      <c r="D608" t="s">
        <v>8</v>
      </c>
      <c r="E608" t="s">
        <v>13</v>
      </c>
      <c r="F608">
        <v>107889</v>
      </c>
      <c r="G608">
        <v>15</v>
      </c>
      <c r="H608">
        <v>3</v>
      </c>
      <c r="I608" t="s">
        <v>7</v>
      </c>
      <c r="J608" t="str">
        <f t="shared" si="9"/>
        <v>Senior</v>
      </c>
    </row>
    <row r="609" spans="1:10" ht="15.75" customHeight="1" x14ac:dyDescent="0.25">
      <c r="A609">
        <v>1608</v>
      </c>
      <c r="B609">
        <v>42</v>
      </c>
      <c r="C609" t="s">
        <v>10</v>
      </c>
      <c r="D609" t="s">
        <v>16</v>
      </c>
      <c r="E609" t="s">
        <v>17</v>
      </c>
      <c r="F609">
        <v>108993</v>
      </c>
      <c r="G609">
        <v>9</v>
      </c>
      <c r="H609">
        <v>3</v>
      </c>
      <c r="I609" t="s">
        <v>7</v>
      </c>
      <c r="J609" t="str">
        <f t="shared" si="9"/>
        <v>Senior</v>
      </c>
    </row>
    <row r="610" spans="1:10" ht="15.75" customHeight="1" x14ac:dyDescent="0.25">
      <c r="A610">
        <v>1609</v>
      </c>
      <c r="B610">
        <v>45</v>
      </c>
      <c r="C610" t="s">
        <v>10</v>
      </c>
      <c r="D610" t="s">
        <v>8</v>
      </c>
      <c r="E610" t="s">
        <v>9</v>
      </c>
      <c r="F610">
        <v>21032</v>
      </c>
      <c r="G610">
        <v>10</v>
      </c>
      <c r="H610">
        <v>4</v>
      </c>
      <c r="I610" t="s">
        <v>15</v>
      </c>
      <c r="J610" t="str">
        <f t="shared" si="9"/>
        <v>Senior</v>
      </c>
    </row>
    <row r="611" spans="1:10" ht="15.75" customHeight="1" x14ac:dyDescent="0.25">
      <c r="A611">
        <v>1610</v>
      </c>
      <c r="B611">
        <v>40</v>
      </c>
      <c r="C611" t="s">
        <v>4</v>
      </c>
      <c r="D611" t="s">
        <v>11</v>
      </c>
      <c r="E611" t="s">
        <v>14</v>
      </c>
      <c r="F611">
        <v>104404</v>
      </c>
      <c r="G611">
        <v>4</v>
      </c>
      <c r="H611">
        <v>3</v>
      </c>
      <c r="I611" t="s">
        <v>7</v>
      </c>
      <c r="J611" t="str">
        <f t="shared" si="9"/>
        <v>Mid-Level</v>
      </c>
    </row>
    <row r="612" spans="1:10" ht="15.75" customHeight="1" x14ac:dyDescent="0.25">
      <c r="A612">
        <v>1611</v>
      </c>
      <c r="B612">
        <v>58</v>
      </c>
      <c r="C612" t="s">
        <v>4</v>
      </c>
      <c r="D612" t="s">
        <v>18</v>
      </c>
      <c r="E612" t="s">
        <v>23</v>
      </c>
      <c r="F612">
        <v>104368</v>
      </c>
      <c r="G612">
        <v>19</v>
      </c>
      <c r="H612">
        <v>5</v>
      </c>
      <c r="I612" t="s">
        <v>7</v>
      </c>
      <c r="J612" t="str">
        <f t="shared" si="9"/>
        <v>Senior</v>
      </c>
    </row>
    <row r="613" spans="1:10" ht="15.75" customHeight="1" x14ac:dyDescent="0.25">
      <c r="A613">
        <v>1612</v>
      </c>
      <c r="B613">
        <v>26</v>
      </c>
      <c r="C613" t="s">
        <v>10</v>
      </c>
      <c r="D613" t="s">
        <v>11</v>
      </c>
      <c r="E613" t="s">
        <v>14</v>
      </c>
      <c r="F613">
        <v>23360</v>
      </c>
      <c r="G613">
        <v>14</v>
      </c>
      <c r="H613">
        <v>4</v>
      </c>
      <c r="I613" t="s">
        <v>15</v>
      </c>
      <c r="J613" t="str">
        <f t="shared" si="9"/>
        <v>Senior</v>
      </c>
    </row>
    <row r="614" spans="1:10" ht="15.75" customHeight="1" x14ac:dyDescent="0.25">
      <c r="A614">
        <v>1613</v>
      </c>
      <c r="B614">
        <v>36</v>
      </c>
      <c r="C614" t="s">
        <v>4</v>
      </c>
      <c r="D614" t="s">
        <v>11</v>
      </c>
      <c r="E614" t="s">
        <v>14</v>
      </c>
      <c r="F614">
        <v>96962</v>
      </c>
      <c r="G614">
        <v>20</v>
      </c>
      <c r="H614">
        <v>2</v>
      </c>
      <c r="I614" t="s">
        <v>15</v>
      </c>
      <c r="J614" t="str">
        <f t="shared" si="9"/>
        <v>Senior</v>
      </c>
    </row>
    <row r="615" spans="1:10" ht="15.75" customHeight="1" x14ac:dyDescent="0.25">
      <c r="A615">
        <v>1614</v>
      </c>
      <c r="B615">
        <v>24</v>
      </c>
      <c r="C615" t="s">
        <v>10</v>
      </c>
      <c r="D615" t="s">
        <v>5</v>
      </c>
      <c r="E615" t="s">
        <v>6</v>
      </c>
      <c r="F615">
        <v>27515</v>
      </c>
      <c r="G615">
        <v>7</v>
      </c>
      <c r="H615">
        <v>3</v>
      </c>
      <c r="I615" t="s">
        <v>15</v>
      </c>
      <c r="J615" t="str">
        <f t="shared" si="9"/>
        <v>Senior</v>
      </c>
    </row>
    <row r="616" spans="1:10" ht="15.75" customHeight="1" x14ac:dyDescent="0.25">
      <c r="A616">
        <v>1615</v>
      </c>
      <c r="B616">
        <v>29</v>
      </c>
      <c r="C616" t="s">
        <v>4</v>
      </c>
      <c r="D616" t="s">
        <v>11</v>
      </c>
      <c r="E616" t="s">
        <v>12</v>
      </c>
      <c r="F616">
        <v>93738</v>
      </c>
      <c r="G616">
        <v>2</v>
      </c>
      <c r="H616">
        <v>3</v>
      </c>
      <c r="I616" t="s">
        <v>7</v>
      </c>
      <c r="J616" t="str">
        <f t="shared" si="9"/>
        <v>Junior</v>
      </c>
    </row>
    <row r="617" spans="1:10" ht="15.75" customHeight="1" x14ac:dyDescent="0.25">
      <c r="A617">
        <v>1616</v>
      </c>
      <c r="B617">
        <v>48</v>
      </c>
      <c r="C617" t="s">
        <v>10</v>
      </c>
      <c r="D617" t="s">
        <v>18</v>
      </c>
      <c r="E617" t="s">
        <v>19</v>
      </c>
      <c r="F617">
        <v>92409</v>
      </c>
      <c r="G617">
        <v>4</v>
      </c>
      <c r="H617">
        <v>4</v>
      </c>
      <c r="I617" t="s">
        <v>7</v>
      </c>
      <c r="J617" t="str">
        <f t="shared" si="9"/>
        <v>Mid-Level</v>
      </c>
    </row>
    <row r="618" spans="1:10" ht="15.75" customHeight="1" x14ac:dyDescent="0.25">
      <c r="A618">
        <v>1617</v>
      </c>
      <c r="B618">
        <v>23</v>
      </c>
      <c r="C618" t="s">
        <v>10</v>
      </c>
      <c r="D618" t="s">
        <v>21</v>
      </c>
      <c r="E618" t="s">
        <v>22</v>
      </c>
      <c r="F618">
        <v>80967</v>
      </c>
      <c r="G618">
        <v>1</v>
      </c>
      <c r="H618">
        <v>5</v>
      </c>
      <c r="I618" t="s">
        <v>7</v>
      </c>
      <c r="J618" t="str">
        <f t="shared" si="9"/>
        <v>Junior</v>
      </c>
    </row>
    <row r="619" spans="1:10" ht="15.75" customHeight="1" x14ac:dyDescent="0.25">
      <c r="A619">
        <v>1618</v>
      </c>
      <c r="B619">
        <v>57</v>
      </c>
      <c r="C619" t="s">
        <v>10</v>
      </c>
      <c r="D619" t="s">
        <v>16</v>
      </c>
      <c r="E619" t="s">
        <v>17</v>
      </c>
      <c r="F619">
        <v>79781</v>
      </c>
      <c r="G619">
        <v>15</v>
      </c>
      <c r="H619">
        <v>2</v>
      </c>
      <c r="I619" t="s">
        <v>7</v>
      </c>
      <c r="J619" t="str">
        <f t="shared" si="9"/>
        <v>Senior</v>
      </c>
    </row>
    <row r="620" spans="1:10" ht="15.75" customHeight="1" x14ac:dyDescent="0.25">
      <c r="A620">
        <v>1619</v>
      </c>
      <c r="B620">
        <v>57</v>
      </c>
      <c r="C620" t="s">
        <v>4</v>
      </c>
      <c r="D620" t="s">
        <v>16</v>
      </c>
      <c r="E620" t="s">
        <v>17</v>
      </c>
      <c r="F620">
        <v>113206</v>
      </c>
      <c r="G620">
        <v>11</v>
      </c>
      <c r="H620">
        <v>1</v>
      </c>
      <c r="I620" t="s">
        <v>7</v>
      </c>
      <c r="J620" t="str">
        <f t="shared" si="9"/>
        <v>Senior</v>
      </c>
    </row>
    <row r="621" spans="1:10" ht="15.75" customHeight="1" x14ac:dyDescent="0.25">
      <c r="A621">
        <v>1620</v>
      </c>
      <c r="B621">
        <v>44</v>
      </c>
      <c r="C621" t="s">
        <v>10</v>
      </c>
      <c r="D621" t="s">
        <v>16</v>
      </c>
      <c r="E621" t="s">
        <v>25</v>
      </c>
      <c r="F621">
        <v>76483</v>
      </c>
      <c r="G621">
        <v>3</v>
      </c>
      <c r="H621">
        <v>1</v>
      </c>
      <c r="I621" t="s">
        <v>7</v>
      </c>
      <c r="J621" t="str">
        <f t="shared" si="9"/>
        <v>Mid-Level</v>
      </c>
    </row>
    <row r="622" spans="1:10" ht="15.75" customHeight="1" x14ac:dyDescent="0.25">
      <c r="A622">
        <v>1621</v>
      </c>
      <c r="B622">
        <v>22</v>
      </c>
      <c r="C622" t="s">
        <v>4</v>
      </c>
      <c r="D622" t="s">
        <v>16</v>
      </c>
      <c r="E622" t="s">
        <v>17</v>
      </c>
      <c r="F622">
        <v>99533</v>
      </c>
      <c r="G622">
        <v>5</v>
      </c>
      <c r="H622">
        <v>3</v>
      </c>
      <c r="I622" t="s">
        <v>7</v>
      </c>
      <c r="J622" t="str">
        <f t="shared" si="9"/>
        <v>Mid-Level</v>
      </c>
    </row>
    <row r="623" spans="1:10" ht="15.75" customHeight="1" x14ac:dyDescent="0.25">
      <c r="A623">
        <v>1622</v>
      </c>
      <c r="B623">
        <v>43</v>
      </c>
      <c r="C623" t="s">
        <v>10</v>
      </c>
      <c r="D623" t="s">
        <v>11</v>
      </c>
      <c r="E623" t="s">
        <v>14</v>
      </c>
      <c r="F623">
        <v>36109</v>
      </c>
      <c r="G623">
        <v>8</v>
      </c>
      <c r="H623">
        <v>3</v>
      </c>
      <c r="I623" t="s">
        <v>7</v>
      </c>
      <c r="J623" t="str">
        <f t="shared" si="9"/>
        <v>Senior</v>
      </c>
    </row>
    <row r="624" spans="1:10" ht="15.75" customHeight="1" x14ac:dyDescent="0.25">
      <c r="A624">
        <v>1623</v>
      </c>
      <c r="B624">
        <v>55</v>
      </c>
      <c r="C624" t="s">
        <v>10</v>
      </c>
      <c r="D624" t="s">
        <v>21</v>
      </c>
      <c r="E624" t="s">
        <v>24</v>
      </c>
      <c r="F624">
        <v>69073</v>
      </c>
      <c r="G624">
        <v>9</v>
      </c>
      <c r="H624">
        <v>1</v>
      </c>
      <c r="I624" t="s">
        <v>7</v>
      </c>
      <c r="J624" t="str">
        <f t="shared" si="9"/>
        <v>Senior</v>
      </c>
    </row>
    <row r="625" spans="1:10" ht="15.75" customHeight="1" x14ac:dyDescent="0.25">
      <c r="A625">
        <v>1624</v>
      </c>
      <c r="B625">
        <v>36</v>
      </c>
      <c r="C625" t="s">
        <v>10</v>
      </c>
      <c r="D625" t="s">
        <v>21</v>
      </c>
      <c r="E625" t="s">
        <v>22</v>
      </c>
      <c r="F625">
        <v>101915</v>
      </c>
      <c r="G625">
        <v>12</v>
      </c>
      <c r="H625">
        <v>3</v>
      </c>
      <c r="I625" t="s">
        <v>7</v>
      </c>
      <c r="J625" t="str">
        <f t="shared" si="9"/>
        <v>Senior</v>
      </c>
    </row>
    <row r="626" spans="1:10" ht="15.75" customHeight="1" x14ac:dyDescent="0.25">
      <c r="A626">
        <v>1625</v>
      </c>
      <c r="B626">
        <v>54</v>
      </c>
      <c r="C626" t="s">
        <v>10</v>
      </c>
      <c r="D626" t="s">
        <v>5</v>
      </c>
      <c r="E626" t="s">
        <v>6</v>
      </c>
      <c r="F626">
        <v>67876</v>
      </c>
      <c r="G626">
        <v>20</v>
      </c>
      <c r="H626">
        <v>5</v>
      </c>
      <c r="I626" t="s">
        <v>7</v>
      </c>
      <c r="J626" t="str">
        <f t="shared" si="9"/>
        <v>Senior</v>
      </c>
    </row>
    <row r="627" spans="1:10" ht="15.75" customHeight="1" x14ac:dyDescent="0.25">
      <c r="A627">
        <v>1626</v>
      </c>
      <c r="B627">
        <v>23</v>
      </c>
      <c r="C627" t="s">
        <v>10</v>
      </c>
      <c r="D627" t="s">
        <v>21</v>
      </c>
      <c r="E627" t="s">
        <v>22</v>
      </c>
      <c r="F627">
        <v>30820</v>
      </c>
      <c r="G627">
        <v>14</v>
      </c>
      <c r="H627">
        <v>3</v>
      </c>
      <c r="I627" t="s">
        <v>7</v>
      </c>
      <c r="J627" t="str">
        <f t="shared" si="9"/>
        <v>Senior</v>
      </c>
    </row>
    <row r="628" spans="1:10" ht="15.75" customHeight="1" x14ac:dyDescent="0.25">
      <c r="A628">
        <v>1627</v>
      </c>
      <c r="B628">
        <v>37</v>
      </c>
      <c r="C628" t="s">
        <v>10</v>
      </c>
      <c r="D628" t="s">
        <v>18</v>
      </c>
      <c r="E628" t="s">
        <v>23</v>
      </c>
      <c r="F628">
        <v>99319</v>
      </c>
      <c r="G628">
        <v>17</v>
      </c>
      <c r="H628">
        <v>2</v>
      </c>
      <c r="I628" t="s">
        <v>7</v>
      </c>
      <c r="J628" t="str">
        <f t="shared" si="9"/>
        <v>Senior</v>
      </c>
    </row>
    <row r="629" spans="1:10" ht="15.75" customHeight="1" x14ac:dyDescent="0.25">
      <c r="A629">
        <v>1628</v>
      </c>
      <c r="B629">
        <v>38</v>
      </c>
      <c r="C629" t="s">
        <v>4</v>
      </c>
      <c r="D629" t="s">
        <v>18</v>
      </c>
      <c r="E629" t="s">
        <v>19</v>
      </c>
      <c r="F629">
        <v>77639</v>
      </c>
      <c r="G629">
        <v>2</v>
      </c>
      <c r="H629">
        <v>5</v>
      </c>
      <c r="I629" t="s">
        <v>7</v>
      </c>
      <c r="J629" t="str">
        <f t="shared" si="9"/>
        <v>Junior</v>
      </c>
    </row>
    <row r="630" spans="1:10" ht="15.75" customHeight="1" x14ac:dyDescent="0.25">
      <c r="A630">
        <v>1629</v>
      </c>
      <c r="B630">
        <v>29</v>
      </c>
      <c r="C630" t="s">
        <v>4</v>
      </c>
      <c r="D630" t="s">
        <v>16</v>
      </c>
      <c r="E630" t="s">
        <v>25</v>
      </c>
      <c r="F630">
        <v>91945</v>
      </c>
      <c r="G630">
        <v>17</v>
      </c>
      <c r="H630">
        <v>3</v>
      </c>
      <c r="I630" t="s">
        <v>7</v>
      </c>
      <c r="J630" t="str">
        <f t="shared" si="9"/>
        <v>Senior</v>
      </c>
    </row>
    <row r="631" spans="1:10" ht="15.75" customHeight="1" x14ac:dyDescent="0.25">
      <c r="A631">
        <v>1630</v>
      </c>
      <c r="B631">
        <v>23</v>
      </c>
      <c r="C631" t="s">
        <v>10</v>
      </c>
      <c r="D631" t="s">
        <v>11</v>
      </c>
      <c r="E631" t="s">
        <v>12</v>
      </c>
      <c r="F631">
        <v>49812</v>
      </c>
      <c r="G631">
        <v>15</v>
      </c>
      <c r="H631">
        <v>2</v>
      </c>
      <c r="I631" t="s">
        <v>15</v>
      </c>
      <c r="J631" t="str">
        <f t="shared" si="9"/>
        <v>Senior</v>
      </c>
    </row>
    <row r="632" spans="1:10" ht="15.75" customHeight="1" x14ac:dyDescent="0.25">
      <c r="A632">
        <v>1631</v>
      </c>
      <c r="B632">
        <v>47</v>
      </c>
      <c r="C632" t="s">
        <v>4</v>
      </c>
      <c r="D632" t="s">
        <v>8</v>
      </c>
      <c r="E632" t="s">
        <v>9</v>
      </c>
      <c r="F632">
        <v>119831</v>
      </c>
      <c r="G632">
        <v>15</v>
      </c>
      <c r="H632">
        <v>3</v>
      </c>
      <c r="I632" t="s">
        <v>7</v>
      </c>
      <c r="J632" t="str">
        <f t="shared" si="9"/>
        <v>Senior</v>
      </c>
    </row>
    <row r="633" spans="1:10" ht="15.75" customHeight="1" x14ac:dyDescent="0.25">
      <c r="A633">
        <v>1632</v>
      </c>
      <c r="B633">
        <v>29</v>
      </c>
      <c r="C633" t="s">
        <v>10</v>
      </c>
      <c r="D633" t="s">
        <v>18</v>
      </c>
      <c r="E633" t="s">
        <v>19</v>
      </c>
      <c r="F633">
        <v>85193</v>
      </c>
      <c r="G633">
        <v>5</v>
      </c>
      <c r="H633">
        <v>1</v>
      </c>
      <c r="I633" t="s">
        <v>7</v>
      </c>
      <c r="J633" t="str">
        <f t="shared" si="9"/>
        <v>Mid-Level</v>
      </c>
    </row>
    <row r="634" spans="1:10" ht="15.75" customHeight="1" x14ac:dyDescent="0.25">
      <c r="A634">
        <v>1633</v>
      </c>
      <c r="B634">
        <v>54</v>
      </c>
      <c r="C634" t="s">
        <v>4</v>
      </c>
      <c r="D634" t="s">
        <v>18</v>
      </c>
      <c r="E634" t="s">
        <v>23</v>
      </c>
      <c r="F634">
        <v>23917</v>
      </c>
      <c r="G634">
        <v>13</v>
      </c>
      <c r="H634">
        <v>2</v>
      </c>
      <c r="I634" t="s">
        <v>7</v>
      </c>
      <c r="J634" t="str">
        <f t="shared" si="9"/>
        <v>Senior</v>
      </c>
    </row>
    <row r="635" spans="1:10" ht="15.75" customHeight="1" x14ac:dyDescent="0.25">
      <c r="A635">
        <v>1634</v>
      </c>
      <c r="B635">
        <v>51</v>
      </c>
      <c r="C635" t="s">
        <v>10</v>
      </c>
      <c r="D635" t="s">
        <v>11</v>
      </c>
      <c r="E635" t="s">
        <v>12</v>
      </c>
      <c r="F635">
        <v>64532</v>
      </c>
      <c r="G635">
        <v>18</v>
      </c>
      <c r="H635">
        <v>4</v>
      </c>
      <c r="I635" t="s">
        <v>7</v>
      </c>
      <c r="J635" t="str">
        <f t="shared" si="9"/>
        <v>Senior</v>
      </c>
    </row>
    <row r="636" spans="1:10" ht="15.75" customHeight="1" x14ac:dyDescent="0.25">
      <c r="A636">
        <v>1635</v>
      </c>
      <c r="B636">
        <v>26</v>
      </c>
      <c r="C636" t="s">
        <v>10</v>
      </c>
      <c r="D636" t="s">
        <v>8</v>
      </c>
      <c r="E636" t="s">
        <v>9</v>
      </c>
      <c r="F636">
        <v>56424</v>
      </c>
      <c r="G636">
        <v>4</v>
      </c>
      <c r="H636">
        <v>3</v>
      </c>
      <c r="I636" t="s">
        <v>7</v>
      </c>
      <c r="J636" t="str">
        <f t="shared" si="9"/>
        <v>Mid-Level</v>
      </c>
    </row>
    <row r="637" spans="1:10" ht="15.75" customHeight="1" x14ac:dyDescent="0.25">
      <c r="A637">
        <v>1636</v>
      </c>
      <c r="B637">
        <v>39</v>
      </c>
      <c r="C637" t="s">
        <v>4</v>
      </c>
      <c r="D637" t="s">
        <v>21</v>
      </c>
      <c r="E637" t="s">
        <v>22</v>
      </c>
      <c r="F637">
        <v>35544</v>
      </c>
      <c r="G637">
        <v>5</v>
      </c>
      <c r="H637">
        <v>1</v>
      </c>
      <c r="I637" t="s">
        <v>15</v>
      </c>
      <c r="J637" t="str">
        <f t="shared" si="9"/>
        <v>Mid-Level</v>
      </c>
    </row>
    <row r="638" spans="1:10" ht="15.75" customHeight="1" x14ac:dyDescent="0.25">
      <c r="A638">
        <v>1637</v>
      </c>
      <c r="B638">
        <v>30</v>
      </c>
      <c r="C638" t="s">
        <v>10</v>
      </c>
      <c r="D638" t="s">
        <v>8</v>
      </c>
      <c r="E638" t="s">
        <v>9</v>
      </c>
      <c r="F638">
        <v>57955</v>
      </c>
      <c r="G638">
        <v>7</v>
      </c>
      <c r="H638">
        <v>5</v>
      </c>
      <c r="I638" t="s">
        <v>15</v>
      </c>
      <c r="J638" t="str">
        <f t="shared" si="9"/>
        <v>Senior</v>
      </c>
    </row>
    <row r="639" spans="1:10" ht="15.75" customHeight="1" x14ac:dyDescent="0.25">
      <c r="A639">
        <v>1638</v>
      </c>
      <c r="B639">
        <v>26</v>
      </c>
      <c r="C639" t="s">
        <v>4</v>
      </c>
      <c r="D639" t="s">
        <v>16</v>
      </c>
      <c r="E639" t="s">
        <v>17</v>
      </c>
      <c r="F639">
        <v>69251</v>
      </c>
      <c r="G639">
        <v>9</v>
      </c>
      <c r="H639">
        <v>3</v>
      </c>
      <c r="I639" t="s">
        <v>7</v>
      </c>
      <c r="J639" t="str">
        <f t="shared" si="9"/>
        <v>Senior</v>
      </c>
    </row>
    <row r="640" spans="1:10" ht="15.75" customHeight="1" x14ac:dyDescent="0.25">
      <c r="A640">
        <v>1639</v>
      </c>
      <c r="B640">
        <v>47</v>
      </c>
      <c r="C640" t="s">
        <v>10</v>
      </c>
      <c r="D640" t="s">
        <v>8</v>
      </c>
      <c r="E640" t="s">
        <v>13</v>
      </c>
      <c r="F640">
        <v>112657</v>
      </c>
      <c r="G640">
        <v>6</v>
      </c>
      <c r="H640">
        <v>3</v>
      </c>
      <c r="I640" t="s">
        <v>7</v>
      </c>
      <c r="J640" t="str">
        <f t="shared" si="9"/>
        <v>Mid-Level</v>
      </c>
    </row>
    <row r="641" spans="1:10" ht="15.75" customHeight="1" x14ac:dyDescent="0.25">
      <c r="A641">
        <v>1640</v>
      </c>
      <c r="B641">
        <v>29</v>
      </c>
      <c r="C641" t="s">
        <v>4</v>
      </c>
      <c r="D641" t="s">
        <v>5</v>
      </c>
      <c r="E641" t="s">
        <v>26</v>
      </c>
      <c r="F641">
        <v>41277</v>
      </c>
      <c r="G641">
        <v>15</v>
      </c>
      <c r="H641">
        <v>4</v>
      </c>
      <c r="I641" t="s">
        <v>7</v>
      </c>
      <c r="J641" t="str">
        <f t="shared" si="9"/>
        <v>Senior</v>
      </c>
    </row>
    <row r="642" spans="1:10" ht="15.75" customHeight="1" x14ac:dyDescent="0.25">
      <c r="A642">
        <v>1641</v>
      </c>
      <c r="B642">
        <v>34</v>
      </c>
      <c r="C642" t="s">
        <v>10</v>
      </c>
      <c r="D642" t="s">
        <v>21</v>
      </c>
      <c r="E642" t="s">
        <v>24</v>
      </c>
      <c r="F642">
        <v>111257</v>
      </c>
      <c r="G642">
        <v>3</v>
      </c>
      <c r="H642">
        <v>4</v>
      </c>
      <c r="I642" t="s">
        <v>7</v>
      </c>
      <c r="J642" t="str">
        <f t="shared" ref="J642:J705" si="10">IF(G642&lt;3,"Junior",IF(G642&lt;7,"Mid-Level","Senior"))</f>
        <v>Mid-Level</v>
      </c>
    </row>
    <row r="643" spans="1:10" ht="15.75" customHeight="1" x14ac:dyDescent="0.25">
      <c r="A643">
        <v>1642</v>
      </c>
      <c r="B643">
        <v>51</v>
      </c>
      <c r="C643" t="s">
        <v>10</v>
      </c>
      <c r="D643" t="s">
        <v>11</v>
      </c>
      <c r="E643" t="s">
        <v>14</v>
      </c>
      <c r="F643">
        <v>49307</v>
      </c>
      <c r="G643">
        <v>20</v>
      </c>
      <c r="H643">
        <v>3</v>
      </c>
      <c r="I643" t="s">
        <v>7</v>
      </c>
      <c r="J643" t="str">
        <f t="shared" si="10"/>
        <v>Senior</v>
      </c>
    </row>
    <row r="644" spans="1:10" ht="15.75" customHeight="1" x14ac:dyDescent="0.25">
      <c r="A644">
        <v>1643</v>
      </c>
      <c r="B644">
        <v>22</v>
      </c>
      <c r="C644" t="s">
        <v>4</v>
      </c>
      <c r="D644" t="s">
        <v>11</v>
      </c>
      <c r="E644" t="s">
        <v>12</v>
      </c>
      <c r="F644">
        <v>110391</v>
      </c>
      <c r="G644">
        <v>16</v>
      </c>
      <c r="H644">
        <v>4</v>
      </c>
      <c r="I644" t="s">
        <v>7</v>
      </c>
      <c r="J644" t="str">
        <f t="shared" si="10"/>
        <v>Senior</v>
      </c>
    </row>
    <row r="645" spans="1:10" ht="15.75" customHeight="1" x14ac:dyDescent="0.25">
      <c r="A645">
        <v>1644</v>
      </c>
      <c r="B645">
        <v>34</v>
      </c>
      <c r="C645" t="s">
        <v>4</v>
      </c>
      <c r="D645" t="s">
        <v>18</v>
      </c>
      <c r="E645" t="s">
        <v>23</v>
      </c>
      <c r="F645">
        <v>32050</v>
      </c>
      <c r="G645">
        <v>10</v>
      </c>
      <c r="H645">
        <v>2</v>
      </c>
      <c r="I645" t="s">
        <v>7</v>
      </c>
      <c r="J645" t="str">
        <f t="shared" si="10"/>
        <v>Senior</v>
      </c>
    </row>
    <row r="646" spans="1:10" ht="15.75" customHeight="1" x14ac:dyDescent="0.25">
      <c r="A646">
        <v>1645</v>
      </c>
      <c r="B646">
        <v>52</v>
      </c>
      <c r="C646" t="s">
        <v>10</v>
      </c>
      <c r="D646" t="s">
        <v>21</v>
      </c>
      <c r="E646" t="s">
        <v>22</v>
      </c>
      <c r="F646">
        <v>72151</v>
      </c>
      <c r="G646">
        <v>1</v>
      </c>
      <c r="H646">
        <v>1</v>
      </c>
      <c r="I646" t="s">
        <v>7</v>
      </c>
      <c r="J646" t="str">
        <f t="shared" si="10"/>
        <v>Junior</v>
      </c>
    </row>
    <row r="647" spans="1:10" ht="15.75" customHeight="1" x14ac:dyDescent="0.25">
      <c r="A647">
        <v>1646</v>
      </c>
      <c r="B647">
        <v>55</v>
      </c>
      <c r="C647" t="s">
        <v>10</v>
      </c>
      <c r="D647" t="s">
        <v>21</v>
      </c>
      <c r="E647" t="s">
        <v>22</v>
      </c>
      <c r="F647">
        <v>24785</v>
      </c>
      <c r="G647">
        <v>20</v>
      </c>
      <c r="H647">
        <v>4</v>
      </c>
      <c r="I647" t="s">
        <v>15</v>
      </c>
      <c r="J647" t="str">
        <f t="shared" si="10"/>
        <v>Senior</v>
      </c>
    </row>
    <row r="648" spans="1:10" ht="15.75" customHeight="1" x14ac:dyDescent="0.25">
      <c r="A648">
        <v>1647</v>
      </c>
      <c r="B648">
        <v>32</v>
      </c>
      <c r="C648" t="s">
        <v>4</v>
      </c>
      <c r="D648" t="s">
        <v>21</v>
      </c>
      <c r="E648" t="s">
        <v>22</v>
      </c>
      <c r="F648">
        <v>60050</v>
      </c>
      <c r="G648">
        <v>16</v>
      </c>
      <c r="H648">
        <v>3</v>
      </c>
      <c r="I648" t="s">
        <v>15</v>
      </c>
      <c r="J648" t="str">
        <f t="shared" si="10"/>
        <v>Senior</v>
      </c>
    </row>
    <row r="649" spans="1:10" ht="15.75" customHeight="1" x14ac:dyDescent="0.25">
      <c r="A649">
        <v>1648</v>
      </c>
      <c r="B649">
        <v>51</v>
      </c>
      <c r="C649" t="s">
        <v>4</v>
      </c>
      <c r="D649" t="s">
        <v>21</v>
      </c>
      <c r="E649" t="s">
        <v>22</v>
      </c>
      <c r="F649">
        <v>24491</v>
      </c>
      <c r="G649">
        <v>17</v>
      </c>
      <c r="H649">
        <v>5</v>
      </c>
      <c r="I649" t="s">
        <v>7</v>
      </c>
      <c r="J649" t="str">
        <f t="shared" si="10"/>
        <v>Senior</v>
      </c>
    </row>
    <row r="650" spans="1:10" ht="15.75" customHeight="1" x14ac:dyDescent="0.25">
      <c r="A650">
        <v>1649</v>
      </c>
      <c r="B650">
        <v>30</v>
      </c>
      <c r="C650" t="s">
        <v>10</v>
      </c>
      <c r="D650" t="s">
        <v>18</v>
      </c>
      <c r="E650" t="s">
        <v>23</v>
      </c>
      <c r="F650">
        <v>61835</v>
      </c>
      <c r="G650">
        <v>6</v>
      </c>
      <c r="H650">
        <v>3</v>
      </c>
      <c r="I650" t="s">
        <v>7</v>
      </c>
      <c r="J650" t="str">
        <f t="shared" si="10"/>
        <v>Mid-Level</v>
      </c>
    </row>
    <row r="651" spans="1:10" ht="15.75" customHeight="1" x14ac:dyDescent="0.25">
      <c r="A651">
        <v>1650</v>
      </c>
      <c r="B651">
        <v>46</v>
      </c>
      <c r="C651" t="s">
        <v>4</v>
      </c>
      <c r="D651" t="s">
        <v>5</v>
      </c>
      <c r="E651" t="s">
        <v>6</v>
      </c>
      <c r="F651">
        <v>80136</v>
      </c>
      <c r="G651">
        <v>14</v>
      </c>
      <c r="H651">
        <v>1</v>
      </c>
      <c r="I651" t="s">
        <v>7</v>
      </c>
      <c r="J651" t="str">
        <f t="shared" si="10"/>
        <v>Senior</v>
      </c>
    </row>
    <row r="652" spans="1:10" ht="15.75" customHeight="1" x14ac:dyDescent="0.25">
      <c r="A652">
        <v>1651</v>
      </c>
      <c r="B652">
        <v>49</v>
      </c>
      <c r="C652" t="s">
        <v>4</v>
      </c>
      <c r="D652" t="s">
        <v>16</v>
      </c>
      <c r="E652" t="s">
        <v>17</v>
      </c>
      <c r="F652">
        <v>119116</v>
      </c>
      <c r="G652">
        <v>8</v>
      </c>
      <c r="H652">
        <v>4</v>
      </c>
      <c r="I652" t="s">
        <v>15</v>
      </c>
      <c r="J652" t="str">
        <f t="shared" si="10"/>
        <v>Senior</v>
      </c>
    </row>
    <row r="653" spans="1:10" ht="15.75" customHeight="1" x14ac:dyDescent="0.25">
      <c r="A653">
        <v>1652</v>
      </c>
      <c r="B653">
        <v>27</v>
      </c>
      <c r="C653" t="s">
        <v>10</v>
      </c>
      <c r="D653" t="s">
        <v>8</v>
      </c>
      <c r="E653" t="s">
        <v>13</v>
      </c>
      <c r="F653">
        <v>105562</v>
      </c>
      <c r="G653">
        <v>14</v>
      </c>
      <c r="H653">
        <v>2</v>
      </c>
      <c r="I653" t="s">
        <v>7</v>
      </c>
      <c r="J653" t="str">
        <f t="shared" si="10"/>
        <v>Senior</v>
      </c>
    </row>
    <row r="654" spans="1:10" ht="15.75" customHeight="1" x14ac:dyDescent="0.25">
      <c r="A654">
        <v>1653</v>
      </c>
      <c r="B654">
        <v>27</v>
      </c>
      <c r="C654" t="s">
        <v>4</v>
      </c>
      <c r="D654" t="s">
        <v>8</v>
      </c>
      <c r="E654" t="s">
        <v>9</v>
      </c>
      <c r="F654">
        <v>25821</v>
      </c>
      <c r="G654">
        <v>10</v>
      </c>
      <c r="H654">
        <v>1</v>
      </c>
      <c r="I654" t="s">
        <v>7</v>
      </c>
      <c r="J654" t="str">
        <f t="shared" si="10"/>
        <v>Senior</v>
      </c>
    </row>
    <row r="655" spans="1:10" ht="15.75" customHeight="1" x14ac:dyDescent="0.25">
      <c r="A655">
        <v>1654</v>
      </c>
      <c r="B655">
        <v>54</v>
      </c>
      <c r="C655" t="s">
        <v>10</v>
      </c>
      <c r="D655" t="s">
        <v>8</v>
      </c>
      <c r="E655" t="s">
        <v>13</v>
      </c>
      <c r="F655">
        <v>100457</v>
      </c>
      <c r="G655">
        <v>1</v>
      </c>
      <c r="H655">
        <v>2</v>
      </c>
      <c r="I655" t="s">
        <v>7</v>
      </c>
      <c r="J655" t="str">
        <f t="shared" si="10"/>
        <v>Junior</v>
      </c>
    </row>
    <row r="656" spans="1:10" ht="15.75" customHeight="1" x14ac:dyDescent="0.25">
      <c r="A656">
        <v>1655</v>
      </c>
      <c r="B656">
        <v>49</v>
      </c>
      <c r="C656" t="s">
        <v>10</v>
      </c>
      <c r="D656" t="s">
        <v>5</v>
      </c>
      <c r="E656" t="s">
        <v>20</v>
      </c>
      <c r="F656">
        <v>29213</v>
      </c>
      <c r="G656">
        <v>0</v>
      </c>
      <c r="H656">
        <v>5</v>
      </c>
      <c r="I656" t="s">
        <v>15</v>
      </c>
      <c r="J656" t="str">
        <f t="shared" si="10"/>
        <v>Junior</v>
      </c>
    </row>
    <row r="657" spans="1:10" ht="15.75" customHeight="1" x14ac:dyDescent="0.25">
      <c r="A657">
        <v>1656</v>
      </c>
      <c r="B657">
        <v>42</v>
      </c>
      <c r="C657" t="s">
        <v>10</v>
      </c>
      <c r="D657" t="s">
        <v>18</v>
      </c>
      <c r="E657" t="s">
        <v>19</v>
      </c>
      <c r="F657">
        <v>79971</v>
      </c>
      <c r="G657">
        <v>5</v>
      </c>
      <c r="H657">
        <v>2</v>
      </c>
      <c r="I657" t="s">
        <v>15</v>
      </c>
      <c r="J657" t="str">
        <f t="shared" si="10"/>
        <v>Mid-Level</v>
      </c>
    </row>
    <row r="658" spans="1:10" ht="15.75" customHeight="1" x14ac:dyDescent="0.25">
      <c r="A658">
        <v>1657</v>
      </c>
      <c r="B658">
        <v>52</v>
      </c>
      <c r="C658" t="s">
        <v>4</v>
      </c>
      <c r="D658" t="s">
        <v>16</v>
      </c>
      <c r="E658" t="s">
        <v>25</v>
      </c>
      <c r="F658">
        <v>60326</v>
      </c>
      <c r="G658">
        <v>11</v>
      </c>
      <c r="H658">
        <v>1</v>
      </c>
      <c r="I658" t="s">
        <v>7</v>
      </c>
      <c r="J658" t="str">
        <f t="shared" si="10"/>
        <v>Senior</v>
      </c>
    </row>
    <row r="659" spans="1:10" ht="15.75" customHeight="1" x14ac:dyDescent="0.25">
      <c r="A659">
        <v>1658</v>
      </c>
      <c r="B659">
        <v>25</v>
      </c>
      <c r="C659" t="s">
        <v>4</v>
      </c>
      <c r="D659" t="s">
        <v>21</v>
      </c>
      <c r="E659" t="s">
        <v>22</v>
      </c>
      <c r="F659">
        <v>79521</v>
      </c>
      <c r="G659">
        <v>20</v>
      </c>
      <c r="H659">
        <v>1</v>
      </c>
      <c r="I659" t="s">
        <v>7</v>
      </c>
      <c r="J659" t="str">
        <f t="shared" si="10"/>
        <v>Senior</v>
      </c>
    </row>
    <row r="660" spans="1:10" ht="15.75" customHeight="1" x14ac:dyDescent="0.25">
      <c r="A660">
        <v>1659</v>
      </c>
      <c r="B660">
        <v>34</v>
      </c>
      <c r="C660" t="s">
        <v>4</v>
      </c>
      <c r="D660" t="s">
        <v>5</v>
      </c>
      <c r="E660" t="s">
        <v>26</v>
      </c>
      <c r="F660">
        <v>117280</v>
      </c>
      <c r="G660">
        <v>14</v>
      </c>
      <c r="H660">
        <v>1</v>
      </c>
      <c r="I660" t="s">
        <v>7</v>
      </c>
      <c r="J660" t="str">
        <f t="shared" si="10"/>
        <v>Senior</v>
      </c>
    </row>
    <row r="661" spans="1:10" ht="15.75" customHeight="1" x14ac:dyDescent="0.25">
      <c r="A661">
        <v>1660</v>
      </c>
      <c r="B661">
        <v>23</v>
      </c>
      <c r="C661" t="s">
        <v>4</v>
      </c>
      <c r="D661" t="s">
        <v>8</v>
      </c>
      <c r="E661" t="s">
        <v>13</v>
      </c>
      <c r="F661">
        <v>57462</v>
      </c>
      <c r="G661">
        <v>1</v>
      </c>
      <c r="H661">
        <v>3</v>
      </c>
      <c r="I661" t="s">
        <v>7</v>
      </c>
      <c r="J661" t="str">
        <f t="shared" si="10"/>
        <v>Junior</v>
      </c>
    </row>
    <row r="662" spans="1:10" ht="15.75" customHeight="1" x14ac:dyDescent="0.25">
      <c r="A662">
        <v>1661</v>
      </c>
      <c r="B662">
        <v>52</v>
      </c>
      <c r="C662" t="s">
        <v>4</v>
      </c>
      <c r="D662" t="s">
        <v>8</v>
      </c>
      <c r="E662" t="s">
        <v>13</v>
      </c>
      <c r="F662">
        <v>76089</v>
      </c>
      <c r="G662">
        <v>1</v>
      </c>
      <c r="H662">
        <v>4</v>
      </c>
      <c r="I662" t="s">
        <v>7</v>
      </c>
      <c r="J662" t="str">
        <f t="shared" si="10"/>
        <v>Junior</v>
      </c>
    </row>
    <row r="663" spans="1:10" ht="15.75" customHeight="1" x14ac:dyDescent="0.25">
      <c r="A663">
        <v>1662</v>
      </c>
      <c r="B663">
        <v>38</v>
      </c>
      <c r="C663" t="s">
        <v>4</v>
      </c>
      <c r="D663" t="s">
        <v>5</v>
      </c>
      <c r="E663" t="s">
        <v>26</v>
      </c>
      <c r="F663">
        <v>90477</v>
      </c>
      <c r="G663">
        <v>11</v>
      </c>
      <c r="H663">
        <v>3</v>
      </c>
      <c r="I663" t="s">
        <v>7</v>
      </c>
      <c r="J663" t="str">
        <f t="shared" si="10"/>
        <v>Senior</v>
      </c>
    </row>
    <row r="664" spans="1:10" ht="15.75" customHeight="1" x14ac:dyDescent="0.25">
      <c r="A664">
        <v>1663</v>
      </c>
      <c r="B664">
        <v>50</v>
      </c>
      <c r="C664" t="s">
        <v>4</v>
      </c>
      <c r="D664" t="s">
        <v>18</v>
      </c>
      <c r="E664" t="s">
        <v>23</v>
      </c>
      <c r="F664">
        <v>88471</v>
      </c>
      <c r="G664">
        <v>6</v>
      </c>
      <c r="H664">
        <v>4</v>
      </c>
      <c r="I664" t="s">
        <v>15</v>
      </c>
      <c r="J664" t="str">
        <f t="shared" si="10"/>
        <v>Mid-Level</v>
      </c>
    </row>
    <row r="665" spans="1:10" ht="15.75" customHeight="1" x14ac:dyDescent="0.25">
      <c r="A665">
        <v>1664</v>
      </c>
      <c r="B665">
        <v>48</v>
      </c>
      <c r="C665" t="s">
        <v>10</v>
      </c>
      <c r="D665" t="s">
        <v>5</v>
      </c>
      <c r="E665" t="s">
        <v>26</v>
      </c>
      <c r="F665">
        <v>73320</v>
      </c>
      <c r="G665">
        <v>17</v>
      </c>
      <c r="H665">
        <v>3</v>
      </c>
      <c r="I665" t="s">
        <v>7</v>
      </c>
      <c r="J665" t="str">
        <f t="shared" si="10"/>
        <v>Senior</v>
      </c>
    </row>
    <row r="666" spans="1:10" ht="15.75" customHeight="1" x14ac:dyDescent="0.25">
      <c r="A666">
        <v>1665</v>
      </c>
      <c r="B666">
        <v>42</v>
      </c>
      <c r="C666" t="s">
        <v>10</v>
      </c>
      <c r="D666" t="s">
        <v>18</v>
      </c>
      <c r="E666" t="s">
        <v>19</v>
      </c>
      <c r="F666">
        <v>68117</v>
      </c>
      <c r="G666">
        <v>8</v>
      </c>
      <c r="H666">
        <v>4</v>
      </c>
      <c r="I666" t="s">
        <v>15</v>
      </c>
      <c r="J666" t="str">
        <f t="shared" si="10"/>
        <v>Senior</v>
      </c>
    </row>
    <row r="667" spans="1:10" ht="15.75" customHeight="1" x14ac:dyDescent="0.25">
      <c r="A667">
        <v>1666</v>
      </c>
      <c r="B667">
        <v>38</v>
      </c>
      <c r="C667" t="s">
        <v>4</v>
      </c>
      <c r="D667" t="s">
        <v>18</v>
      </c>
      <c r="E667" t="s">
        <v>23</v>
      </c>
      <c r="F667">
        <v>37074</v>
      </c>
      <c r="G667">
        <v>12</v>
      </c>
      <c r="H667">
        <v>2</v>
      </c>
      <c r="I667" t="s">
        <v>15</v>
      </c>
      <c r="J667" t="str">
        <f t="shared" si="10"/>
        <v>Senior</v>
      </c>
    </row>
    <row r="668" spans="1:10" ht="15.75" customHeight="1" x14ac:dyDescent="0.25">
      <c r="A668">
        <v>1667</v>
      </c>
      <c r="B668">
        <v>52</v>
      </c>
      <c r="C668" t="s">
        <v>4</v>
      </c>
      <c r="D668" t="s">
        <v>18</v>
      </c>
      <c r="E668" t="s">
        <v>23</v>
      </c>
      <c r="F668">
        <v>92304</v>
      </c>
      <c r="G668">
        <v>18</v>
      </c>
      <c r="H668">
        <v>4</v>
      </c>
      <c r="I668" t="s">
        <v>15</v>
      </c>
      <c r="J668" t="str">
        <f t="shared" si="10"/>
        <v>Senior</v>
      </c>
    </row>
    <row r="669" spans="1:10" ht="15.75" customHeight="1" x14ac:dyDescent="0.25">
      <c r="A669">
        <v>1668</v>
      </c>
      <c r="B669">
        <v>47</v>
      </c>
      <c r="C669" t="s">
        <v>10</v>
      </c>
      <c r="D669" t="s">
        <v>8</v>
      </c>
      <c r="E669" t="s">
        <v>13</v>
      </c>
      <c r="F669">
        <v>70830</v>
      </c>
      <c r="G669">
        <v>10</v>
      </c>
      <c r="H669">
        <v>5</v>
      </c>
      <c r="I669" t="s">
        <v>7</v>
      </c>
      <c r="J669" t="str">
        <f t="shared" si="10"/>
        <v>Senior</v>
      </c>
    </row>
    <row r="670" spans="1:10" ht="15.75" customHeight="1" x14ac:dyDescent="0.25">
      <c r="A670">
        <v>1669</v>
      </c>
      <c r="B670">
        <v>31</v>
      </c>
      <c r="C670" t="s">
        <v>10</v>
      </c>
      <c r="D670" t="s">
        <v>11</v>
      </c>
      <c r="E670" t="s">
        <v>14</v>
      </c>
      <c r="F670">
        <v>59327</v>
      </c>
      <c r="G670">
        <v>6</v>
      </c>
      <c r="H670">
        <v>2</v>
      </c>
      <c r="I670" t="s">
        <v>7</v>
      </c>
      <c r="J670" t="str">
        <f t="shared" si="10"/>
        <v>Mid-Level</v>
      </c>
    </row>
    <row r="671" spans="1:10" ht="15.75" customHeight="1" x14ac:dyDescent="0.25">
      <c r="A671">
        <v>1670</v>
      </c>
      <c r="B671">
        <v>44</v>
      </c>
      <c r="C671" t="s">
        <v>4</v>
      </c>
      <c r="D671" t="s">
        <v>11</v>
      </c>
      <c r="E671" t="s">
        <v>12</v>
      </c>
      <c r="F671">
        <v>93537</v>
      </c>
      <c r="G671">
        <v>15</v>
      </c>
      <c r="H671">
        <v>5</v>
      </c>
      <c r="I671" t="s">
        <v>7</v>
      </c>
      <c r="J671" t="str">
        <f t="shared" si="10"/>
        <v>Senior</v>
      </c>
    </row>
    <row r="672" spans="1:10" ht="15.75" customHeight="1" x14ac:dyDescent="0.25">
      <c r="A672">
        <v>1671</v>
      </c>
      <c r="B672">
        <v>43</v>
      </c>
      <c r="C672" t="s">
        <v>10</v>
      </c>
      <c r="D672" t="s">
        <v>18</v>
      </c>
      <c r="E672" t="s">
        <v>19</v>
      </c>
      <c r="F672">
        <v>68457</v>
      </c>
      <c r="G672">
        <v>1</v>
      </c>
      <c r="H672">
        <v>3</v>
      </c>
      <c r="I672" t="s">
        <v>7</v>
      </c>
      <c r="J672" t="str">
        <f t="shared" si="10"/>
        <v>Junior</v>
      </c>
    </row>
    <row r="673" spans="1:10" ht="15.75" customHeight="1" x14ac:dyDescent="0.25">
      <c r="A673">
        <v>1672</v>
      </c>
      <c r="B673">
        <v>45</v>
      </c>
      <c r="C673" t="s">
        <v>4</v>
      </c>
      <c r="D673" t="s">
        <v>11</v>
      </c>
      <c r="E673" t="s">
        <v>12</v>
      </c>
      <c r="F673">
        <v>35181</v>
      </c>
      <c r="G673">
        <v>12</v>
      </c>
      <c r="H673">
        <v>5</v>
      </c>
      <c r="I673" t="s">
        <v>15</v>
      </c>
      <c r="J673" t="str">
        <f t="shared" si="10"/>
        <v>Senior</v>
      </c>
    </row>
    <row r="674" spans="1:10" ht="15.75" customHeight="1" x14ac:dyDescent="0.25">
      <c r="A674">
        <v>1673</v>
      </c>
      <c r="B674">
        <v>58</v>
      </c>
      <c r="C674" t="s">
        <v>4</v>
      </c>
      <c r="D674" t="s">
        <v>8</v>
      </c>
      <c r="E674" t="s">
        <v>9</v>
      </c>
      <c r="F674">
        <v>85571</v>
      </c>
      <c r="G674">
        <v>8</v>
      </c>
      <c r="H674">
        <v>1</v>
      </c>
      <c r="I674" t="s">
        <v>7</v>
      </c>
      <c r="J674" t="str">
        <f t="shared" si="10"/>
        <v>Senior</v>
      </c>
    </row>
    <row r="675" spans="1:10" ht="15.75" customHeight="1" x14ac:dyDescent="0.25">
      <c r="A675">
        <v>1674</v>
      </c>
      <c r="B675">
        <v>27</v>
      </c>
      <c r="C675" t="s">
        <v>4</v>
      </c>
      <c r="D675" t="s">
        <v>16</v>
      </c>
      <c r="E675" t="s">
        <v>17</v>
      </c>
      <c r="F675">
        <v>59332</v>
      </c>
      <c r="G675">
        <v>19</v>
      </c>
      <c r="H675">
        <v>4</v>
      </c>
      <c r="I675" t="s">
        <v>15</v>
      </c>
      <c r="J675" t="str">
        <f t="shared" si="10"/>
        <v>Senior</v>
      </c>
    </row>
    <row r="676" spans="1:10" ht="15.75" customHeight="1" x14ac:dyDescent="0.25">
      <c r="A676">
        <v>1675</v>
      </c>
      <c r="B676">
        <v>32</v>
      </c>
      <c r="C676" t="s">
        <v>10</v>
      </c>
      <c r="D676" t="s">
        <v>18</v>
      </c>
      <c r="E676" t="s">
        <v>23</v>
      </c>
      <c r="F676">
        <v>22855</v>
      </c>
      <c r="G676">
        <v>7</v>
      </c>
      <c r="H676">
        <v>1</v>
      </c>
      <c r="I676" t="s">
        <v>7</v>
      </c>
      <c r="J676" t="str">
        <f t="shared" si="10"/>
        <v>Senior</v>
      </c>
    </row>
    <row r="677" spans="1:10" ht="15.75" customHeight="1" x14ac:dyDescent="0.25">
      <c r="A677">
        <v>1676</v>
      </c>
      <c r="B677">
        <v>50</v>
      </c>
      <c r="C677" t="s">
        <v>10</v>
      </c>
      <c r="D677" t="s">
        <v>8</v>
      </c>
      <c r="E677" t="s">
        <v>9</v>
      </c>
      <c r="F677">
        <v>56873</v>
      </c>
      <c r="G677">
        <v>1</v>
      </c>
      <c r="H677">
        <v>1</v>
      </c>
      <c r="I677" t="s">
        <v>7</v>
      </c>
      <c r="J677" t="str">
        <f t="shared" si="10"/>
        <v>Junior</v>
      </c>
    </row>
    <row r="678" spans="1:10" ht="15.75" customHeight="1" x14ac:dyDescent="0.25">
      <c r="A678">
        <v>1677</v>
      </c>
      <c r="B678">
        <v>50</v>
      </c>
      <c r="C678" t="s">
        <v>10</v>
      </c>
      <c r="D678" t="s">
        <v>18</v>
      </c>
      <c r="E678" t="s">
        <v>23</v>
      </c>
      <c r="F678">
        <v>90237</v>
      </c>
      <c r="G678">
        <v>15</v>
      </c>
      <c r="H678">
        <v>3</v>
      </c>
      <c r="I678" t="s">
        <v>7</v>
      </c>
      <c r="J678" t="str">
        <f t="shared" si="10"/>
        <v>Senior</v>
      </c>
    </row>
    <row r="679" spans="1:10" ht="15.75" customHeight="1" x14ac:dyDescent="0.25">
      <c r="A679">
        <v>1678</v>
      </c>
      <c r="B679">
        <v>42</v>
      </c>
      <c r="C679" t="s">
        <v>10</v>
      </c>
      <c r="D679" t="s">
        <v>18</v>
      </c>
      <c r="E679" t="s">
        <v>23</v>
      </c>
      <c r="F679">
        <v>38194</v>
      </c>
      <c r="G679">
        <v>18</v>
      </c>
      <c r="H679">
        <v>2</v>
      </c>
      <c r="I679" t="s">
        <v>15</v>
      </c>
      <c r="J679" t="str">
        <f t="shared" si="10"/>
        <v>Senior</v>
      </c>
    </row>
    <row r="680" spans="1:10" ht="15.75" customHeight="1" x14ac:dyDescent="0.25">
      <c r="A680">
        <v>1679</v>
      </c>
      <c r="B680">
        <v>53</v>
      </c>
      <c r="C680" t="s">
        <v>10</v>
      </c>
      <c r="D680" t="s">
        <v>11</v>
      </c>
      <c r="E680" t="s">
        <v>12</v>
      </c>
      <c r="F680">
        <v>48109</v>
      </c>
      <c r="G680">
        <v>7</v>
      </c>
      <c r="H680">
        <v>5</v>
      </c>
      <c r="I680" t="s">
        <v>7</v>
      </c>
      <c r="J680" t="str">
        <f t="shared" si="10"/>
        <v>Senior</v>
      </c>
    </row>
    <row r="681" spans="1:10" ht="15.75" customHeight="1" x14ac:dyDescent="0.25">
      <c r="A681">
        <v>1680</v>
      </c>
      <c r="B681">
        <v>56</v>
      </c>
      <c r="C681" t="s">
        <v>10</v>
      </c>
      <c r="D681" t="s">
        <v>16</v>
      </c>
      <c r="E681" t="s">
        <v>25</v>
      </c>
      <c r="F681">
        <v>118888</v>
      </c>
      <c r="G681">
        <v>0</v>
      </c>
      <c r="H681">
        <v>5</v>
      </c>
      <c r="I681" t="s">
        <v>7</v>
      </c>
      <c r="J681" t="str">
        <f t="shared" si="10"/>
        <v>Junior</v>
      </c>
    </row>
    <row r="682" spans="1:10" ht="15.75" customHeight="1" x14ac:dyDescent="0.25">
      <c r="A682">
        <v>1681</v>
      </c>
      <c r="B682">
        <v>48</v>
      </c>
      <c r="C682" t="s">
        <v>4</v>
      </c>
      <c r="D682" t="s">
        <v>18</v>
      </c>
      <c r="E682" t="s">
        <v>19</v>
      </c>
      <c r="F682">
        <v>96202</v>
      </c>
      <c r="G682">
        <v>3</v>
      </c>
      <c r="H682">
        <v>4</v>
      </c>
      <c r="I682" t="s">
        <v>15</v>
      </c>
      <c r="J682" t="str">
        <f t="shared" si="10"/>
        <v>Mid-Level</v>
      </c>
    </row>
    <row r="683" spans="1:10" ht="15.75" customHeight="1" x14ac:dyDescent="0.25">
      <c r="A683">
        <v>1682</v>
      </c>
      <c r="B683">
        <v>39</v>
      </c>
      <c r="C683" t="s">
        <v>10</v>
      </c>
      <c r="D683" t="s">
        <v>11</v>
      </c>
      <c r="E683" t="s">
        <v>14</v>
      </c>
      <c r="F683">
        <v>83419</v>
      </c>
      <c r="G683">
        <v>5</v>
      </c>
      <c r="H683">
        <v>5</v>
      </c>
      <c r="I683" t="s">
        <v>7</v>
      </c>
      <c r="J683" t="str">
        <f t="shared" si="10"/>
        <v>Mid-Level</v>
      </c>
    </row>
    <row r="684" spans="1:10" ht="15.75" customHeight="1" x14ac:dyDescent="0.25">
      <c r="A684">
        <v>1683</v>
      </c>
      <c r="B684">
        <v>31</v>
      </c>
      <c r="C684" t="s">
        <v>4</v>
      </c>
      <c r="D684" t="s">
        <v>21</v>
      </c>
      <c r="E684" t="s">
        <v>22</v>
      </c>
      <c r="F684">
        <v>102122</v>
      </c>
      <c r="G684">
        <v>4</v>
      </c>
      <c r="H684">
        <v>3</v>
      </c>
      <c r="I684" t="s">
        <v>7</v>
      </c>
      <c r="J684" t="str">
        <f t="shared" si="10"/>
        <v>Mid-Level</v>
      </c>
    </row>
    <row r="685" spans="1:10" ht="15.75" customHeight="1" x14ac:dyDescent="0.25">
      <c r="A685">
        <v>1684</v>
      </c>
      <c r="B685">
        <v>48</v>
      </c>
      <c r="C685" t="s">
        <v>4</v>
      </c>
      <c r="D685" t="s">
        <v>16</v>
      </c>
      <c r="E685" t="s">
        <v>25</v>
      </c>
      <c r="F685">
        <v>116261</v>
      </c>
      <c r="G685">
        <v>20</v>
      </c>
      <c r="H685">
        <v>1</v>
      </c>
      <c r="I685" t="s">
        <v>7</v>
      </c>
      <c r="J685" t="str">
        <f t="shared" si="10"/>
        <v>Senior</v>
      </c>
    </row>
    <row r="686" spans="1:10" ht="15.75" customHeight="1" x14ac:dyDescent="0.25">
      <c r="A686">
        <v>1685</v>
      </c>
      <c r="B686">
        <v>25</v>
      </c>
      <c r="C686" t="s">
        <v>10</v>
      </c>
      <c r="D686" t="s">
        <v>21</v>
      </c>
      <c r="E686" t="s">
        <v>22</v>
      </c>
      <c r="F686">
        <v>110533</v>
      </c>
      <c r="G686">
        <v>17</v>
      </c>
      <c r="H686">
        <v>1</v>
      </c>
      <c r="I686" t="s">
        <v>7</v>
      </c>
      <c r="J686" t="str">
        <f t="shared" si="10"/>
        <v>Senior</v>
      </c>
    </row>
    <row r="687" spans="1:10" ht="15.75" customHeight="1" x14ac:dyDescent="0.25">
      <c r="A687">
        <v>1686</v>
      </c>
      <c r="B687">
        <v>28</v>
      </c>
      <c r="C687" t="s">
        <v>4</v>
      </c>
      <c r="D687" t="s">
        <v>8</v>
      </c>
      <c r="E687" t="s">
        <v>9</v>
      </c>
      <c r="F687">
        <v>44527</v>
      </c>
      <c r="G687">
        <v>10</v>
      </c>
      <c r="H687">
        <v>3</v>
      </c>
      <c r="I687" t="s">
        <v>15</v>
      </c>
      <c r="J687" t="str">
        <f t="shared" si="10"/>
        <v>Senior</v>
      </c>
    </row>
    <row r="688" spans="1:10" ht="15.75" customHeight="1" x14ac:dyDescent="0.25">
      <c r="A688">
        <v>1687</v>
      </c>
      <c r="B688">
        <v>52</v>
      </c>
      <c r="C688" t="s">
        <v>4</v>
      </c>
      <c r="D688" t="s">
        <v>5</v>
      </c>
      <c r="E688" t="s">
        <v>20</v>
      </c>
      <c r="F688">
        <v>77002</v>
      </c>
      <c r="G688">
        <v>6</v>
      </c>
      <c r="H688">
        <v>5</v>
      </c>
      <c r="I688" t="s">
        <v>7</v>
      </c>
      <c r="J688" t="str">
        <f t="shared" si="10"/>
        <v>Mid-Level</v>
      </c>
    </row>
    <row r="689" spans="1:10" ht="15.75" customHeight="1" x14ac:dyDescent="0.25">
      <c r="A689">
        <v>1688</v>
      </c>
      <c r="B689">
        <v>27</v>
      </c>
      <c r="C689" t="s">
        <v>4</v>
      </c>
      <c r="D689" t="s">
        <v>11</v>
      </c>
      <c r="E689" t="s">
        <v>12</v>
      </c>
      <c r="F689">
        <v>109720</v>
      </c>
      <c r="G689">
        <v>1</v>
      </c>
      <c r="H689">
        <v>5</v>
      </c>
      <c r="I689" t="s">
        <v>7</v>
      </c>
      <c r="J689" t="str">
        <f t="shared" si="10"/>
        <v>Junior</v>
      </c>
    </row>
    <row r="690" spans="1:10" ht="15.75" customHeight="1" x14ac:dyDescent="0.25">
      <c r="A690">
        <v>1689</v>
      </c>
      <c r="B690">
        <v>53</v>
      </c>
      <c r="C690" t="s">
        <v>10</v>
      </c>
      <c r="D690" t="s">
        <v>18</v>
      </c>
      <c r="E690" t="s">
        <v>19</v>
      </c>
      <c r="F690">
        <v>53471</v>
      </c>
      <c r="G690">
        <v>4</v>
      </c>
      <c r="H690">
        <v>5</v>
      </c>
      <c r="I690" t="s">
        <v>7</v>
      </c>
      <c r="J690" t="str">
        <f t="shared" si="10"/>
        <v>Mid-Level</v>
      </c>
    </row>
    <row r="691" spans="1:10" ht="15.75" customHeight="1" x14ac:dyDescent="0.25">
      <c r="A691">
        <v>1690</v>
      </c>
      <c r="B691">
        <v>56</v>
      </c>
      <c r="C691" t="s">
        <v>10</v>
      </c>
      <c r="D691" t="s">
        <v>16</v>
      </c>
      <c r="E691" t="s">
        <v>25</v>
      </c>
      <c r="F691">
        <v>47277</v>
      </c>
      <c r="G691">
        <v>10</v>
      </c>
      <c r="H691">
        <v>1</v>
      </c>
      <c r="I691" t="s">
        <v>7</v>
      </c>
      <c r="J691" t="str">
        <f t="shared" si="10"/>
        <v>Senior</v>
      </c>
    </row>
    <row r="692" spans="1:10" ht="15.75" customHeight="1" x14ac:dyDescent="0.25">
      <c r="A692">
        <v>1691</v>
      </c>
      <c r="B692">
        <v>25</v>
      </c>
      <c r="C692" t="s">
        <v>4</v>
      </c>
      <c r="D692" t="s">
        <v>16</v>
      </c>
      <c r="E692" t="s">
        <v>17</v>
      </c>
      <c r="F692">
        <v>63140</v>
      </c>
      <c r="G692">
        <v>17</v>
      </c>
      <c r="H692">
        <v>1</v>
      </c>
      <c r="I692" t="s">
        <v>7</v>
      </c>
      <c r="J692" t="str">
        <f t="shared" si="10"/>
        <v>Senior</v>
      </c>
    </row>
    <row r="693" spans="1:10" ht="15.75" customHeight="1" x14ac:dyDescent="0.25">
      <c r="A693">
        <v>1692</v>
      </c>
      <c r="B693">
        <v>38</v>
      </c>
      <c r="C693" t="s">
        <v>4</v>
      </c>
      <c r="D693" t="s">
        <v>11</v>
      </c>
      <c r="E693" t="s">
        <v>14</v>
      </c>
      <c r="F693">
        <v>40551</v>
      </c>
      <c r="G693">
        <v>17</v>
      </c>
      <c r="H693">
        <v>1</v>
      </c>
      <c r="I693" t="s">
        <v>7</v>
      </c>
      <c r="J693" t="str">
        <f t="shared" si="10"/>
        <v>Senior</v>
      </c>
    </row>
    <row r="694" spans="1:10" ht="15.75" customHeight="1" x14ac:dyDescent="0.25">
      <c r="A694">
        <v>1693</v>
      </c>
      <c r="B694">
        <v>58</v>
      </c>
      <c r="C694" t="s">
        <v>10</v>
      </c>
      <c r="D694" t="s">
        <v>16</v>
      </c>
      <c r="E694" t="s">
        <v>17</v>
      </c>
      <c r="F694">
        <v>98010</v>
      </c>
      <c r="G694">
        <v>5</v>
      </c>
      <c r="H694">
        <v>1</v>
      </c>
      <c r="I694" t="s">
        <v>15</v>
      </c>
      <c r="J694" t="str">
        <f t="shared" si="10"/>
        <v>Mid-Level</v>
      </c>
    </row>
    <row r="695" spans="1:10" ht="15.75" customHeight="1" x14ac:dyDescent="0.25">
      <c r="A695">
        <v>1694</v>
      </c>
      <c r="B695">
        <v>30</v>
      </c>
      <c r="C695" t="s">
        <v>10</v>
      </c>
      <c r="D695" t="s">
        <v>8</v>
      </c>
      <c r="E695" t="s">
        <v>9</v>
      </c>
      <c r="F695">
        <v>52633</v>
      </c>
      <c r="G695">
        <v>12</v>
      </c>
      <c r="H695">
        <v>3</v>
      </c>
      <c r="I695" t="s">
        <v>7</v>
      </c>
      <c r="J695" t="str">
        <f t="shared" si="10"/>
        <v>Senior</v>
      </c>
    </row>
    <row r="696" spans="1:10" ht="15.75" customHeight="1" x14ac:dyDescent="0.25">
      <c r="A696">
        <v>1695</v>
      </c>
      <c r="B696">
        <v>48</v>
      </c>
      <c r="C696" t="s">
        <v>4</v>
      </c>
      <c r="D696" t="s">
        <v>18</v>
      </c>
      <c r="E696" t="s">
        <v>23</v>
      </c>
      <c r="F696">
        <v>114949</v>
      </c>
      <c r="G696">
        <v>2</v>
      </c>
      <c r="H696">
        <v>5</v>
      </c>
      <c r="I696" t="s">
        <v>7</v>
      </c>
      <c r="J696" t="str">
        <f t="shared" si="10"/>
        <v>Junior</v>
      </c>
    </row>
    <row r="697" spans="1:10" ht="15.75" customHeight="1" x14ac:dyDescent="0.25">
      <c r="A697">
        <v>1696</v>
      </c>
      <c r="B697">
        <v>30</v>
      </c>
      <c r="C697" t="s">
        <v>10</v>
      </c>
      <c r="D697" t="s">
        <v>18</v>
      </c>
      <c r="E697" t="s">
        <v>23</v>
      </c>
      <c r="F697">
        <v>72909</v>
      </c>
      <c r="G697">
        <v>16</v>
      </c>
      <c r="H697">
        <v>3</v>
      </c>
      <c r="I697" t="s">
        <v>7</v>
      </c>
      <c r="J697" t="str">
        <f t="shared" si="10"/>
        <v>Senior</v>
      </c>
    </row>
    <row r="698" spans="1:10" ht="15.75" customHeight="1" x14ac:dyDescent="0.25">
      <c r="A698">
        <v>1697</v>
      </c>
      <c r="B698">
        <v>26</v>
      </c>
      <c r="C698" t="s">
        <v>4</v>
      </c>
      <c r="D698" t="s">
        <v>11</v>
      </c>
      <c r="E698" t="s">
        <v>14</v>
      </c>
      <c r="F698">
        <v>73396</v>
      </c>
      <c r="G698">
        <v>8</v>
      </c>
      <c r="H698">
        <v>3</v>
      </c>
      <c r="I698" t="s">
        <v>7</v>
      </c>
      <c r="J698" t="str">
        <f t="shared" si="10"/>
        <v>Senior</v>
      </c>
    </row>
    <row r="699" spans="1:10" ht="15.75" customHeight="1" x14ac:dyDescent="0.25">
      <c r="A699">
        <v>1698</v>
      </c>
      <c r="B699">
        <v>57</v>
      </c>
      <c r="C699" t="s">
        <v>10</v>
      </c>
      <c r="D699" t="s">
        <v>21</v>
      </c>
      <c r="E699" t="s">
        <v>24</v>
      </c>
      <c r="F699">
        <v>112265</v>
      </c>
      <c r="G699">
        <v>20</v>
      </c>
      <c r="H699">
        <v>4</v>
      </c>
      <c r="I699" t="s">
        <v>7</v>
      </c>
      <c r="J699" t="str">
        <f t="shared" si="10"/>
        <v>Senior</v>
      </c>
    </row>
    <row r="700" spans="1:10" ht="15.75" customHeight="1" x14ac:dyDescent="0.25">
      <c r="A700">
        <v>1699</v>
      </c>
      <c r="B700">
        <v>39</v>
      </c>
      <c r="C700" t="s">
        <v>10</v>
      </c>
      <c r="D700" t="s">
        <v>21</v>
      </c>
      <c r="E700" t="s">
        <v>24</v>
      </c>
      <c r="F700">
        <v>66196</v>
      </c>
      <c r="G700">
        <v>19</v>
      </c>
      <c r="H700">
        <v>2</v>
      </c>
      <c r="I700" t="s">
        <v>7</v>
      </c>
      <c r="J700" t="str">
        <f t="shared" si="10"/>
        <v>Senior</v>
      </c>
    </row>
    <row r="701" spans="1:10" ht="15.75" customHeight="1" x14ac:dyDescent="0.25">
      <c r="A701">
        <v>1700</v>
      </c>
      <c r="B701">
        <v>41</v>
      </c>
      <c r="C701" t="s">
        <v>10</v>
      </c>
      <c r="D701" t="s">
        <v>11</v>
      </c>
      <c r="E701" t="s">
        <v>12</v>
      </c>
      <c r="F701">
        <v>52203</v>
      </c>
      <c r="G701">
        <v>8</v>
      </c>
      <c r="H701">
        <v>2</v>
      </c>
      <c r="I701" t="s">
        <v>7</v>
      </c>
      <c r="J701" t="str">
        <f t="shared" si="10"/>
        <v>Senior</v>
      </c>
    </row>
    <row r="702" spans="1:10" ht="15.75" customHeight="1" x14ac:dyDescent="0.25">
      <c r="A702">
        <v>1701</v>
      </c>
      <c r="B702">
        <v>23</v>
      </c>
      <c r="C702" t="s">
        <v>4</v>
      </c>
      <c r="D702" t="s">
        <v>11</v>
      </c>
      <c r="E702" t="s">
        <v>12</v>
      </c>
      <c r="F702">
        <v>36354</v>
      </c>
      <c r="G702">
        <v>3</v>
      </c>
      <c r="H702">
        <v>2</v>
      </c>
      <c r="I702" t="s">
        <v>7</v>
      </c>
      <c r="J702" t="str">
        <f t="shared" si="10"/>
        <v>Mid-Level</v>
      </c>
    </row>
    <row r="703" spans="1:10" ht="15.75" customHeight="1" x14ac:dyDescent="0.25">
      <c r="A703">
        <v>1702</v>
      </c>
      <c r="B703">
        <v>24</v>
      </c>
      <c r="C703" t="s">
        <v>10</v>
      </c>
      <c r="D703" t="s">
        <v>11</v>
      </c>
      <c r="E703" t="s">
        <v>14</v>
      </c>
      <c r="F703">
        <v>109610</v>
      </c>
      <c r="G703">
        <v>9</v>
      </c>
      <c r="H703">
        <v>3</v>
      </c>
      <c r="I703" t="s">
        <v>15</v>
      </c>
      <c r="J703" t="str">
        <f t="shared" si="10"/>
        <v>Senior</v>
      </c>
    </row>
    <row r="704" spans="1:10" ht="15.75" customHeight="1" x14ac:dyDescent="0.25">
      <c r="A704">
        <v>1703</v>
      </c>
      <c r="B704">
        <v>39</v>
      </c>
      <c r="C704" t="s">
        <v>4</v>
      </c>
      <c r="D704" t="s">
        <v>18</v>
      </c>
      <c r="E704" t="s">
        <v>19</v>
      </c>
      <c r="F704">
        <v>71675</v>
      </c>
      <c r="G704">
        <v>16</v>
      </c>
      <c r="H704">
        <v>3</v>
      </c>
      <c r="I704" t="s">
        <v>7</v>
      </c>
      <c r="J704" t="str">
        <f t="shared" si="10"/>
        <v>Senior</v>
      </c>
    </row>
    <row r="705" spans="1:10" ht="15.75" customHeight="1" x14ac:dyDescent="0.25">
      <c r="A705">
        <v>1704</v>
      </c>
      <c r="B705">
        <v>49</v>
      </c>
      <c r="C705" t="s">
        <v>4</v>
      </c>
      <c r="D705" t="s">
        <v>8</v>
      </c>
      <c r="E705" t="s">
        <v>9</v>
      </c>
      <c r="F705">
        <v>51683</v>
      </c>
      <c r="G705">
        <v>13</v>
      </c>
      <c r="H705">
        <v>5</v>
      </c>
      <c r="I705" t="s">
        <v>15</v>
      </c>
      <c r="J705" t="str">
        <f t="shared" si="10"/>
        <v>Senior</v>
      </c>
    </row>
    <row r="706" spans="1:10" ht="15.75" customHeight="1" x14ac:dyDescent="0.25">
      <c r="A706">
        <v>1705</v>
      </c>
      <c r="B706">
        <v>38</v>
      </c>
      <c r="C706" t="s">
        <v>4</v>
      </c>
      <c r="D706" t="s">
        <v>21</v>
      </c>
      <c r="E706" t="s">
        <v>24</v>
      </c>
      <c r="F706">
        <v>82312</v>
      </c>
      <c r="G706">
        <v>15</v>
      </c>
      <c r="H706">
        <v>1</v>
      </c>
      <c r="I706" t="s">
        <v>7</v>
      </c>
      <c r="J706" t="str">
        <f t="shared" ref="J706:J769" si="11">IF(G706&lt;3,"Junior",IF(G706&lt;7,"Mid-Level","Senior"))</f>
        <v>Senior</v>
      </c>
    </row>
    <row r="707" spans="1:10" ht="15.75" customHeight="1" x14ac:dyDescent="0.25">
      <c r="A707">
        <v>1706</v>
      </c>
      <c r="B707">
        <v>51</v>
      </c>
      <c r="C707" t="s">
        <v>4</v>
      </c>
      <c r="D707" t="s">
        <v>16</v>
      </c>
      <c r="E707" t="s">
        <v>25</v>
      </c>
      <c r="F707">
        <v>72590</v>
      </c>
      <c r="G707">
        <v>17</v>
      </c>
      <c r="H707">
        <v>4</v>
      </c>
      <c r="I707" t="s">
        <v>7</v>
      </c>
      <c r="J707" t="str">
        <f t="shared" si="11"/>
        <v>Senior</v>
      </c>
    </row>
    <row r="708" spans="1:10" ht="15.75" customHeight="1" x14ac:dyDescent="0.25">
      <c r="A708">
        <v>1707</v>
      </c>
      <c r="B708">
        <v>57</v>
      </c>
      <c r="C708" t="s">
        <v>10</v>
      </c>
      <c r="D708" t="s">
        <v>5</v>
      </c>
      <c r="E708" t="s">
        <v>26</v>
      </c>
      <c r="F708">
        <v>36828</v>
      </c>
      <c r="G708">
        <v>6</v>
      </c>
      <c r="H708">
        <v>3</v>
      </c>
      <c r="I708" t="s">
        <v>7</v>
      </c>
      <c r="J708" t="str">
        <f t="shared" si="11"/>
        <v>Mid-Level</v>
      </c>
    </row>
    <row r="709" spans="1:10" ht="15.75" customHeight="1" x14ac:dyDescent="0.25">
      <c r="A709">
        <v>1708</v>
      </c>
      <c r="B709">
        <v>25</v>
      </c>
      <c r="C709" t="s">
        <v>10</v>
      </c>
      <c r="D709" t="s">
        <v>5</v>
      </c>
      <c r="E709" t="s">
        <v>6</v>
      </c>
      <c r="F709">
        <v>79441</v>
      </c>
      <c r="G709">
        <v>6</v>
      </c>
      <c r="H709">
        <v>4</v>
      </c>
      <c r="I709" t="s">
        <v>7</v>
      </c>
      <c r="J709" t="str">
        <f t="shared" si="11"/>
        <v>Mid-Level</v>
      </c>
    </row>
    <row r="710" spans="1:10" ht="15.75" customHeight="1" x14ac:dyDescent="0.25">
      <c r="A710">
        <v>1709</v>
      </c>
      <c r="B710">
        <v>42</v>
      </c>
      <c r="C710" t="s">
        <v>4</v>
      </c>
      <c r="D710" t="s">
        <v>5</v>
      </c>
      <c r="E710" t="s">
        <v>20</v>
      </c>
      <c r="F710">
        <v>23478</v>
      </c>
      <c r="G710">
        <v>13</v>
      </c>
      <c r="H710">
        <v>5</v>
      </c>
      <c r="I710" t="s">
        <v>7</v>
      </c>
      <c r="J710" t="str">
        <f t="shared" si="11"/>
        <v>Senior</v>
      </c>
    </row>
    <row r="711" spans="1:10" ht="15.75" customHeight="1" x14ac:dyDescent="0.25">
      <c r="A711">
        <v>1710</v>
      </c>
      <c r="B711">
        <v>40</v>
      </c>
      <c r="C711" t="s">
        <v>10</v>
      </c>
      <c r="D711" t="s">
        <v>8</v>
      </c>
      <c r="E711" t="s">
        <v>9</v>
      </c>
      <c r="F711">
        <v>58112</v>
      </c>
      <c r="G711">
        <v>11</v>
      </c>
      <c r="H711">
        <v>5</v>
      </c>
      <c r="I711" t="s">
        <v>15</v>
      </c>
      <c r="J711" t="str">
        <f t="shared" si="11"/>
        <v>Senior</v>
      </c>
    </row>
    <row r="712" spans="1:10" ht="15.75" customHeight="1" x14ac:dyDescent="0.25">
      <c r="A712">
        <v>1711</v>
      </c>
      <c r="B712">
        <v>23</v>
      </c>
      <c r="C712" t="s">
        <v>4</v>
      </c>
      <c r="D712" t="s">
        <v>21</v>
      </c>
      <c r="E712" t="s">
        <v>22</v>
      </c>
      <c r="F712">
        <v>60520</v>
      </c>
      <c r="G712">
        <v>15</v>
      </c>
      <c r="H712">
        <v>4</v>
      </c>
      <c r="I712" t="s">
        <v>7</v>
      </c>
      <c r="J712" t="str">
        <f t="shared" si="11"/>
        <v>Senior</v>
      </c>
    </row>
    <row r="713" spans="1:10" ht="15.75" customHeight="1" x14ac:dyDescent="0.25">
      <c r="A713">
        <v>1712</v>
      </c>
      <c r="B713">
        <v>51</v>
      </c>
      <c r="C713" t="s">
        <v>10</v>
      </c>
      <c r="D713" t="s">
        <v>5</v>
      </c>
      <c r="E713" t="s">
        <v>26</v>
      </c>
      <c r="F713">
        <v>73934</v>
      </c>
      <c r="G713">
        <v>0</v>
      </c>
      <c r="H713">
        <v>3</v>
      </c>
      <c r="I713" t="s">
        <v>7</v>
      </c>
      <c r="J713" t="str">
        <f t="shared" si="11"/>
        <v>Junior</v>
      </c>
    </row>
    <row r="714" spans="1:10" ht="15.75" customHeight="1" x14ac:dyDescent="0.25">
      <c r="A714">
        <v>1713</v>
      </c>
      <c r="B714">
        <v>50</v>
      </c>
      <c r="C714" t="s">
        <v>4</v>
      </c>
      <c r="D714" t="s">
        <v>11</v>
      </c>
      <c r="E714" t="s">
        <v>12</v>
      </c>
      <c r="F714">
        <v>110502</v>
      </c>
      <c r="G714">
        <v>12</v>
      </c>
      <c r="H714">
        <v>1</v>
      </c>
      <c r="I714" t="s">
        <v>15</v>
      </c>
      <c r="J714" t="str">
        <f t="shared" si="11"/>
        <v>Senior</v>
      </c>
    </row>
    <row r="715" spans="1:10" ht="15.75" customHeight="1" x14ac:dyDescent="0.25">
      <c r="A715">
        <v>1714</v>
      </c>
      <c r="B715">
        <v>30</v>
      </c>
      <c r="C715" t="s">
        <v>10</v>
      </c>
      <c r="D715" t="s">
        <v>8</v>
      </c>
      <c r="E715" t="s">
        <v>9</v>
      </c>
      <c r="F715">
        <v>59003</v>
      </c>
      <c r="G715">
        <v>0</v>
      </c>
      <c r="H715">
        <v>4</v>
      </c>
      <c r="I715" t="s">
        <v>7</v>
      </c>
      <c r="J715" t="str">
        <f t="shared" si="11"/>
        <v>Junior</v>
      </c>
    </row>
    <row r="716" spans="1:10" ht="15.75" customHeight="1" x14ac:dyDescent="0.25">
      <c r="A716">
        <v>1715</v>
      </c>
      <c r="B716">
        <v>36</v>
      </c>
      <c r="C716" t="s">
        <v>10</v>
      </c>
      <c r="D716" t="s">
        <v>21</v>
      </c>
      <c r="E716" t="s">
        <v>24</v>
      </c>
      <c r="F716">
        <v>32965</v>
      </c>
      <c r="G716">
        <v>6</v>
      </c>
      <c r="H716">
        <v>4</v>
      </c>
      <c r="I716" t="s">
        <v>7</v>
      </c>
      <c r="J716" t="str">
        <f t="shared" si="11"/>
        <v>Mid-Level</v>
      </c>
    </row>
    <row r="717" spans="1:10" ht="15.75" customHeight="1" x14ac:dyDescent="0.25">
      <c r="A717">
        <v>1716</v>
      </c>
      <c r="B717">
        <v>25</v>
      </c>
      <c r="C717" t="s">
        <v>10</v>
      </c>
      <c r="D717" t="s">
        <v>18</v>
      </c>
      <c r="E717" t="s">
        <v>19</v>
      </c>
      <c r="F717">
        <v>68055</v>
      </c>
      <c r="G717">
        <v>14</v>
      </c>
      <c r="H717">
        <v>1</v>
      </c>
      <c r="I717" t="s">
        <v>7</v>
      </c>
      <c r="J717" t="str">
        <f t="shared" si="11"/>
        <v>Senior</v>
      </c>
    </row>
    <row r="718" spans="1:10" ht="15.75" customHeight="1" x14ac:dyDescent="0.25">
      <c r="A718">
        <v>1717</v>
      </c>
      <c r="B718">
        <v>49</v>
      </c>
      <c r="C718" t="s">
        <v>10</v>
      </c>
      <c r="D718" t="s">
        <v>11</v>
      </c>
      <c r="E718" t="s">
        <v>12</v>
      </c>
      <c r="F718">
        <v>48714</v>
      </c>
      <c r="G718">
        <v>14</v>
      </c>
      <c r="H718">
        <v>3</v>
      </c>
      <c r="I718" t="s">
        <v>7</v>
      </c>
      <c r="J718" t="str">
        <f t="shared" si="11"/>
        <v>Senior</v>
      </c>
    </row>
    <row r="719" spans="1:10" ht="15.75" customHeight="1" x14ac:dyDescent="0.25">
      <c r="A719">
        <v>1718</v>
      </c>
      <c r="B719">
        <v>29</v>
      </c>
      <c r="C719" t="s">
        <v>10</v>
      </c>
      <c r="D719" t="s">
        <v>21</v>
      </c>
      <c r="E719" t="s">
        <v>22</v>
      </c>
      <c r="F719">
        <v>82955</v>
      </c>
      <c r="G719">
        <v>15</v>
      </c>
      <c r="H719">
        <v>4</v>
      </c>
      <c r="I719" t="s">
        <v>15</v>
      </c>
      <c r="J719" t="str">
        <f t="shared" si="11"/>
        <v>Senior</v>
      </c>
    </row>
    <row r="720" spans="1:10" ht="15.75" customHeight="1" x14ac:dyDescent="0.25">
      <c r="A720">
        <v>1719</v>
      </c>
      <c r="B720">
        <v>40</v>
      </c>
      <c r="C720" t="s">
        <v>10</v>
      </c>
      <c r="D720" t="s">
        <v>8</v>
      </c>
      <c r="E720" t="s">
        <v>9</v>
      </c>
      <c r="F720">
        <v>114630</v>
      </c>
      <c r="G720">
        <v>3</v>
      </c>
      <c r="H720">
        <v>4</v>
      </c>
      <c r="I720" t="s">
        <v>15</v>
      </c>
      <c r="J720" t="str">
        <f t="shared" si="11"/>
        <v>Mid-Level</v>
      </c>
    </row>
    <row r="721" spans="1:10" ht="15.75" customHeight="1" x14ac:dyDescent="0.25">
      <c r="A721">
        <v>1720</v>
      </c>
      <c r="B721">
        <v>22</v>
      </c>
      <c r="C721" t="s">
        <v>10</v>
      </c>
      <c r="D721" t="s">
        <v>21</v>
      </c>
      <c r="E721" t="s">
        <v>22</v>
      </c>
      <c r="F721">
        <v>100169</v>
      </c>
      <c r="G721">
        <v>15</v>
      </c>
      <c r="H721">
        <v>5</v>
      </c>
      <c r="I721" t="s">
        <v>7</v>
      </c>
      <c r="J721" t="str">
        <f t="shared" si="11"/>
        <v>Senior</v>
      </c>
    </row>
    <row r="722" spans="1:10" ht="15.75" customHeight="1" x14ac:dyDescent="0.25">
      <c r="A722">
        <v>1721</v>
      </c>
      <c r="B722">
        <v>39</v>
      </c>
      <c r="C722" t="s">
        <v>4</v>
      </c>
      <c r="D722" t="s">
        <v>8</v>
      </c>
      <c r="E722" t="s">
        <v>9</v>
      </c>
      <c r="F722">
        <v>62142</v>
      </c>
      <c r="G722">
        <v>6</v>
      </c>
      <c r="H722">
        <v>5</v>
      </c>
      <c r="I722" t="s">
        <v>15</v>
      </c>
      <c r="J722" t="str">
        <f t="shared" si="11"/>
        <v>Mid-Level</v>
      </c>
    </row>
    <row r="723" spans="1:10" ht="15.75" customHeight="1" x14ac:dyDescent="0.25">
      <c r="A723">
        <v>1722</v>
      </c>
      <c r="B723">
        <v>47</v>
      </c>
      <c r="C723" t="s">
        <v>10</v>
      </c>
      <c r="D723" t="s">
        <v>16</v>
      </c>
      <c r="E723" t="s">
        <v>17</v>
      </c>
      <c r="F723">
        <v>28318</v>
      </c>
      <c r="G723">
        <v>8</v>
      </c>
      <c r="H723">
        <v>2</v>
      </c>
      <c r="I723" t="s">
        <v>7</v>
      </c>
      <c r="J723" t="str">
        <f t="shared" si="11"/>
        <v>Senior</v>
      </c>
    </row>
    <row r="724" spans="1:10" ht="15.75" customHeight="1" x14ac:dyDescent="0.25">
      <c r="A724">
        <v>1723</v>
      </c>
      <c r="B724">
        <v>58</v>
      </c>
      <c r="C724" t="s">
        <v>4</v>
      </c>
      <c r="D724" t="s">
        <v>5</v>
      </c>
      <c r="E724" t="s">
        <v>6</v>
      </c>
      <c r="F724">
        <v>59771</v>
      </c>
      <c r="G724">
        <v>19</v>
      </c>
      <c r="H724">
        <v>5</v>
      </c>
      <c r="I724" t="s">
        <v>7</v>
      </c>
      <c r="J724" t="str">
        <f t="shared" si="11"/>
        <v>Senior</v>
      </c>
    </row>
    <row r="725" spans="1:10" ht="15.75" customHeight="1" x14ac:dyDescent="0.25">
      <c r="A725">
        <v>1724</v>
      </c>
      <c r="B725">
        <v>53</v>
      </c>
      <c r="C725" t="s">
        <v>4</v>
      </c>
      <c r="D725" t="s">
        <v>5</v>
      </c>
      <c r="E725" t="s">
        <v>26</v>
      </c>
      <c r="F725">
        <v>71918</v>
      </c>
      <c r="G725">
        <v>14</v>
      </c>
      <c r="H725">
        <v>4</v>
      </c>
      <c r="I725" t="s">
        <v>7</v>
      </c>
      <c r="J725" t="str">
        <f t="shared" si="11"/>
        <v>Senior</v>
      </c>
    </row>
    <row r="726" spans="1:10" ht="15.75" customHeight="1" x14ac:dyDescent="0.25">
      <c r="A726">
        <v>1725</v>
      </c>
      <c r="B726">
        <v>32</v>
      </c>
      <c r="C726" t="s">
        <v>4</v>
      </c>
      <c r="D726" t="s">
        <v>16</v>
      </c>
      <c r="E726" t="s">
        <v>25</v>
      </c>
      <c r="F726">
        <v>116022</v>
      </c>
      <c r="G726">
        <v>6</v>
      </c>
      <c r="H726">
        <v>4</v>
      </c>
      <c r="I726" t="s">
        <v>7</v>
      </c>
      <c r="J726" t="str">
        <f t="shared" si="11"/>
        <v>Mid-Level</v>
      </c>
    </row>
    <row r="727" spans="1:10" ht="15.75" customHeight="1" x14ac:dyDescent="0.25">
      <c r="A727">
        <v>1726</v>
      </c>
      <c r="B727">
        <v>57</v>
      </c>
      <c r="C727" t="s">
        <v>4</v>
      </c>
      <c r="D727" t="s">
        <v>16</v>
      </c>
      <c r="E727" t="s">
        <v>25</v>
      </c>
      <c r="F727">
        <v>81427</v>
      </c>
      <c r="G727">
        <v>19</v>
      </c>
      <c r="H727">
        <v>3</v>
      </c>
      <c r="I727" t="s">
        <v>7</v>
      </c>
      <c r="J727" t="str">
        <f t="shared" si="11"/>
        <v>Senior</v>
      </c>
    </row>
    <row r="728" spans="1:10" ht="15.75" customHeight="1" x14ac:dyDescent="0.25">
      <c r="A728">
        <v>1727</v>
      </c>
      <c r="B728">
        <v>48</v>
      </c>
      <c r="C728" t="s">
        <v>4</v>
      </c>
      <c r="D728" t="s">
        <v>21</v>
      </c>
      <c r="E728" t="s">
        <v>22</v>
      </c>
      <c r="F728">
        <v>88731</v>
      </c>
      <c r="G728">
        <v>10</v>
      </c>
      <c r="H728">
        <v>1</v>
      </c>
      <c r="I728" t="s">
        <v>15</v>
      </c>
      <c r="J728" t="str">
        <f t="shared" si="11"/>
        <v>Senior</v>
      </c>
    </row>
    <row r="729" spans="1:10" ht="15.75" customHeight="1" x14ac:dyDescent="0.25">
      <c r="A729">
        <v>1728</v>
      </c>
      <c r="B729">
        <v>31</v>
      </c>
      <c r="C729" t="s">
        <v>10</v>
      </c>
      <c r="D729" t="s">
        <v>5</v>
      </c>
      <c r="E729" t="s">
        <v>20</v>
      </c>
      <c r="F729">
        <v>91869</v>
      </c>
      <c r="G729">
        <v>14</v>
      </c>
      <c r="H729">
        <v>3</v>
      </c>
      <c r="I729" t="s">
        <v>15</v>
      </c>
      <c r="J729" t="str">
        <f t="shared" si="11"/>
        <v>Senior</v>
      </c>
    </row>
    <row r="730" spans="1:10" ht="15.75" customHeight="1" x14ac:dyDescent="0.25">
      <c r="A730">
        <v>1729</v>
      </c>
      <c r="B730">
        <v>29</v>
      </c>
      <c r="C730" t="s">
        <v>4</v>
      </c>
      <c r="D730" t="s">
        <v>21</v>
      </c>
      <c r="E730" t="s">
        <v>22</v>
      </c>
      <c r="F730">
        <v>107557</v>
      </c>
      <c r="G730">
        <v>0</v>
      </c>
      <c r="H730">
        <v>4</v>
      </c>
      <c r="I730" t="s">
        <v>15</v>
      </c>
      <c r="J730" t="str">
        <f t="shared" si="11"/>
        <v>Junior</v>
      </c>
    </row>
    <row r="731" spans="1:10" ht="15.75" customHeight="1" x14ac:dyDescent="0.25">
      <c r="A731">
        <v>1730</v>
      </c>
      <c r="B731">
        <v>47</v>
      </c>
      <c r="C731" t="s">
        <v>4</v>
      </c>
      <c r="D731" t="s">
        <v>5</v>
      </c>
      <c r="E731" t="s">
        <v>26</v>
      </c>
      <c r="F731">
        <v>71917</v>
      </c>
      <c r="G731">
        <v>20</v>
      </c>
      <c r="H731">
        <v>2</v>
      </c>
      <c r="I731" t="s">
        <v>7</v>
      </c>
      <c r="J731" t="str">
        <f t="shared" si="11"/>
        <v>Senior</v>
      </c>
    </row>
    <row r="732" spans="1:10" ht="15.75" customHeight="1" x14ac:dyDescent="0.25">
      <c r="A732">
        <v>1731</v>
      </c>
      <c r="B732">
        <v>26</v>
      </c>
      <c r="C732" t="s">
        <v>10</v>
      </c>
      <c r="D732" t="s">
        <v>16</v>
      </c>
      <c r="E732" t="s">
        <v>17</v>
      </c>
      <c r="F732">
        <v>109207</v>
      </c>
      <c r="G732">
        <v>15</v>
      </c>
      <c r="H732">
        <v>1</v>
      </c>
      <c r="I732" t="s">
        <v>7</v>
      </c>
      <c r="J732" t="str">
        <f t="shared" si="11"/>
        <v>Senior</v>
      </c>
    </row>
    <row r="733" spans="1:10" ht="15.75" customHeight="1" x14ac:dyDescent="0.25">
      <c r="A733">
        <v>1732</v>
      </c>
      <c r="B733">
        <v>33</v>
      </c>
      <c r="C733" t="s">
        <v>4</v>
      </c>
      <c r="D733" t="s">
        <v>11</v>
      </c>
      <c r="E733" t="s">
        <v>14</v>
      </c>
      <c r="F733">
        <v>113650</v>
      </c>
      <c r="G733">
        <v>10</v>
      </c>
      <c r="H733">
        <v>1</v>
      </c>
      <c r="I733" t="s">
        <v>7</v>
      </c>
      <c r="J733" t="str">
        <f t="shared" si="11"/>
        <v>Senior</v>
      </c>
    </row>
    <row r="734" spans="1:10" ht="15.75" customHeight="1" x14ac:dyDescent="0.25">
      <c r="A734">
        <v>1733</v>
      </c>
      <c r="B734">
        <v>33</v>
      </c>
      <c r="C734" t="s">
        <v>10</v>
      </c>
      <c r="D734" t="s">
        <v>11</v>
      </c>
      <c r="E734" t="s">
        <v>14</v>
      </c>
      <c r="F734">
        <v>108697</v>
      </c>
      <c r="G734">
        <v>2</v>
      </c>
      <c r="H734">
        <v>1</v>
      </c>
      <c r="I734" t="s">
        <v>7</v>
      </c>
      <c r="J734" t="str">
        <f t="shared" si="11"/>
        <v>Junior</v>
      </c>
    </row>
    <row r="735" spans="1:10" ht="15.75" customHeight="1" x14ac:dyDescent="0.25">
      <c r="A735">
        <v>1734</v>
      </c>
      <c r="B735">
        <v>36</v>
      </c>
      <c r="C735" t="s">
        <v>10</v>
      </c>
      <c r="D735" t="s">
        <v>18</v>
      </c>
      <c r="E735" t="s">
        <v>23</v>
      </c>
      <c r="F735">
        <v>89672</v>
      </c>
      <c r="G735">
        <v>16</v>
      </c>
      <c r="H735">
        <v>1</v>
      </c>
      <c r="I735" t="s">
        <v>7</v>
      </c>
      <c r="J735" t="str">
        <f t="shared" si="11"/>
        <v>Senior</v>
      </c>
    </row>
    <row r="736" spans="1:10" ht="15.75" customHeight="1" x14ac:dyDescent="0.25">
      <c r="A736">
        <v>1735</v>
      </c>
      <c r="B736">
        <v>28</v>
      </c>
      <c r="C736" t="s">
        <v>4</v>
      </c>
      <c r="D736" t="s">
        <v>18</v>
      </c>
      <c r="E736" t="s">
        <v>19</v>
      </c>
      <c r="F736">
        <v>76078</v>
      </c>
      <c r="G736">
        <v>15</v>
      </c>
      <c r="H736">
        <v>4</v>
      </c>
      <c r="I736" t="s">
        <v>15</v>
      </c>
      <c r="J736" t="str">
        <f t="shared" si="11"/>
        <v>Senior</v>
      </c>
    </row>
    <row r="737" spans="1:10" ht="15.75" customHeight="1" x14ac:dyDescent="0.25">
      <c r="A737">
        <v>1736</v>
      </c>
      <c r="B737">
        <v>36</v>
      </c>
      <c r="C737" t="s">
        <v>10</v>
      </c>
      <c r="D737" t="s">
        <v>5</v>
      </c>
      <c r="E737" t="s">
        <v>6</v>
      </c>
      <c r="F737">
        <v>26715</v>
      </c>
      <c r="G737">
        <v>17</v>
      </c>
      <c r="H737">
        <v>4</v>
      </c>
      <c r="I737" t="s">
        <v>7</v>
      </c>
      <c r="J737" t="str">
        <f t="shared" si="11"/>
        <v>Senior</v>
      </c>
    </row>
    <row r="738" spans="1:10" ht="15.75" customHeight="1" x14ac:dyDescent="0.25">
      <c r="A738">
        <v>1737</v>
      </c>
      <c r="B738">
        <v>52</v>
      </c>
      <c r="C738" t="s">
        <v>10</v>
      </c>
      <c r="D738" t="s">
        <v>16</v>
      </c>
      <c r="E738" t="s">
        <v>25</v>
      </c>
      <c r="F738">
        <v>88395</v>
      </c>
      <c r="G738">
        <v>19</v>
      </c>
      <c r="H738">
        <v>4</v>
      </c>
      <c r="I738" t="s">
        <v>15</v>
      </c>
      <c r="J738" t="str">
        <f t="shared" si="11"/>
        <v>Senior</v>
      </c>
    </row>
    <row r="739" spans="1:10" ht="15.75" customHeight="1" x14ac:dyDescent="0.25">
      <c r="A739">
        <v>1738</v>
      </c>
      <c r="B739">
        <v>58</v>
      </c>
      <c r="C739" t="s">
        <v>10</v>
      </c>
      <c r="D739" t="s">
        <v>8</v>
      </c>
      <c r="E739" t="s">
        <v>13</v>
      </c>
      <c r="F739">
        <v>57587</v>
      </c>
      <c r="G739">
        <v>2</v>
      </c>
      <c r="H739">
        <v>4</v>
      </c>
      <c r="I739" t="s">
        <v>7</v>
      </c>
      <c r="J739" t="str">
        <f t="shared" si="11"/>
        <v>Junior</v>
      </c>
    </row>
    <row r="740" spans="1:10" ht="15.75" customHeight="1" x14ac:dyDescent="0.25">
      <c r="A740">
        <v>1739</v>
      </c>
      <c r="B740">
        <v>47</v>
      </c>
      <c r="C740" t="s">
        <v>4</v>
      </c>
      <c r="D740" t="s">
        <v>18</v>
      </c>
      <c r="E740" t="s">
        <v>19</v>
      </c>
      <c r="F740">
        <v>74554</v>
      </c>
      <c r="G740">
        <v>4</v>
      </c>
      <c r="H740">
        <v>4</v>
      </c>
      <c r="I740" t="s">
        <v>15</v>
      </c>
      <c r="J740" t="str">
        <f t="shared" si="11"/>
        <v>Mid-Level</v>
      </c>
    </row>
    <row r="741" spans="1:10" ht="15.75" customHeight="1" x14ac:dyDescent="0.25">
      <c r="A741">
        <v>1740</v>
      </c>
      <c r="B741">
        <v>47</v>
      </c>
      <c r="C741" t="s">
        <v>10</v>
      </c>
      <c r="D741" t="s">
        <v>5</v>
      </c>
      <c r="E741" t="s">
        <v>20</v>
      </c>
      <c r="F741">
        <v>25939</v>
      </c>
      <c r="G741">
        <v>11</v>
      </c>
      <c r="H741">
        <v>1</v>
      </c>
      <c r="I741" t="s">
        <v>7</v>
      </c>
      <c r="J741" t="str">
        <f t="shared" si="11"/>
        <v>Senior</v>
      </c>
    </row>
    <row r="742" spans="1:10" ht="15.75" customHeight="1" x14ac:dyDescent="0.25">
      <c r="A742">
        <v>1741</v>
      </c>
      <c r="B742">
        <v>45</v>
      </c>
      <c r="C742" t="s">
        <v>4</v>
      </c>
      <c r="D742" t="s">
        <v>5</v>
      </c>
      <c r="E742" t="s">
        <v>20</v>
      </c>
      <c r="F742">
        <v>23812</v>
      </c>
      <c r="G742">
        <v>16</v>
      </c>
      <c r="H742">
        <v>3</v>
      </c>
      <c r="I742" t="s">
        <v>7</v>
      </c>
      <c r="J742" t="str">
        <f t="shared" si="11"/>
        <v>Senior</v>
      </c>
    </row>
    <row r="743" spans="1:10" ht="15.75" customHeight="1" x14ac:dyDescent="0.25">
      <c r="A743">
        <v>1742</v>
      </c>
      <c r="B743">
        <v>28</v>
      </c>
      <c r="C743" t="s">
        <v>4</v>
      </c>
      <c r="D743" t="s">
        <v>5</v>
      </c>
      <c r="E743" t="s">
        <v>26</v>
      </c>
      <c r="F743">
        <v>48313</v>
      </c>
      <c r="G743">
        <v>5</v>
      </c>
      <c r="H743">
        <v>5</v>
      </c>
      <c r="I743" t="s">
        <v>7</v>
      </c>
      <c r="J743" t="str">
        <f t="shared" si="11"/>
        <v>Mid-Level</v>
      </c>
    </row>
    <row r="744" spans="1:10" ht="15.75" customHeight="1" x14ac:dyDescent="0.25">
      <c r="A744">
        <v>1743</v>
      </c>
      <c r="B744">
        <v>27</v>
      </c>
      <c r="C744" t="s">
        <v>4</v>
      </c>
      <c r="D744" t="s">
        <v>8</v>
      </c>
      <c r="E744" t="s">
        <v>13</v>
      </c>
      <c r="F744">
        <v>95091</v>
      </c>
      <c r="G744">
        <v>0</v>
      </c>
      <c r="H744">
        <v>2</v>
      </c>
      <c r="I744" t="s">
        <v>7</v>
      </c>
      <c r="J744" t="str">
        <f t="shared" si="11"/>
        <v>Junior</v>
      </c>
    </row>
    <row r="745" spans="1:10" ht="15.75" customHeight="1" x14ac:dyDescent="0.25">
      <c r="A745">
        <v>1744</v>
      </c>
      <c r="B745">
        <v>53</v>
      </c>
      <c r="C745" t="s">
        <v>10</v>
      </c>
      <c r="D745" t="s">
        <v>8</v>
      </c>
      <c r="E745" t="s">
        <v>9</v>
      </c>
      <c r="F745">
        <v>80641</v>
      </c>
      <c r="G745">
        <v>15</v>
      </c>
      <c r="H745">
        <v>5</v>
      </c>
      <c r="I745" t="s">
        <v>7</v>
      </c>
      <c r="J745" t="str">
        <f t="shared" si="11"/>
        <v>Senior</v>
      </c>
    </row>
    <row r="746" spans="1:10" ht="15.75" customHeight="1" x14ac:dyDescent="0.25">
      <c r="A746">
        <v>1745</v>
      </c>
      <c r="B746">
        <v>30</v>
      </c>
      <c r="C746" t="s">
        <v>4</v>
      </c>
      <c r="D746" t="s">
        <v>21</v>
      </c>
      <c r="E746" t="s">
        <v>22</v>
      </c>
      <c r="F746">
        <v>67160</v>
      </c>
      <c r="G746">
        <v>20</v>
      </c>
      <c r="H746">
        <v>4</v>
      </c>
      <c r="I746" t="s">
        <v>7</v>
      </c>
      <c r="J746" t="str">
        <f t="shared" si="11"/>
        <v>Senior</v>
      </c>
    </row>
    <row r="747" spans="1:10" ht="15.75" customHeight="1" x14ac:dyDescent="0.25">
      <c r="A747">
        <v>1746</v>
      </c>
      <c r="B747">
        <v>51</v>
      </c>
      <c r="C747" t="s">
        <v>10</v>
      </c>
      <c r="D747" t="s">
        <v>21</v>
      </c>
      <c r="E747" t="s">
        <v>24</v>
      </c>
      <c r="F747">
        <v>109454</v>
      </c>
      <c r="G747">
        <v>19</v>
      </c>
      <c r="H747">
        <v>1</v>
      </c>
      <c r="I747" t="s">
        <v>15</v>
      </c>
      <c r="J747" t="str">
        <f t="shared" si="11"/>
        <v>Senior</v>
      </c>
    </row>
    <row r="748" spans="1:10" ht="15.75" customHeight="1" x14ac:dyDescent="0.25">
      <c r="A748">
        <v>1747</v>
      </c>
      <c r="B748">
        <v>54</v>
      </c>
      <c r="C748" t="s">
        <v>10</v>
      </c>
      <c r="D748" t="s">
        <v>21</v>
      </c>
      <c r="E748" t="s">
        <v>22</v>
      </c>
      <c r="F748">
        <v>64837</v>
      </c>
      <c r="G748">
        <v>16</v>
      </c>
      <c r="H748">
        <v>4</v>
      </c>
      <c r="I748" t="s">
        <v>7</v>
      </c>
      <c r="J748" t="str">
        <f t="shared" si="11"/>
        <v>Senior</v>
      </c>
    </row>
    <row r="749" spans="1:10" ht="15.75" customHeight="1" x14ac:dyDescent="0.25">
      <c r="A749">
        <v>1748</v>
      </c>
      <c r="B749">
        <v>23</v>
      </c>
      <c r="C749" t="s">
        <v>10</v>
      </c>
      <c r="D749" t="s">
        <v>5</v>
      </c>
      <c r="E749" t="s">
        <v>20</v>
      </c>
      <c r="F749">
        <v>107988</v>
      </c>
      <c r="G749">
        <v>18</v>
      </c>
      <c r="H749">
        <v>4</v>
      </c>
      <c r="I749" t="s">
        <v>7</v>
      </c>
      <c r="J749" t="str">
        <f t="shared" si="11"/>
        <v>Senior</v>
      </c>
    </row>
    <row r="750" spans="1:10" ht="15.75" customHeight="1" x14ac:dyDescent="0.25">
      <c r="A750">
        <v>1749</v>
      </c>
      <c r="B750">
        <v>40</v>
      </c>
      <c r="C750" t="s">
        <v>10</v>
      </c>
      <c r="D750" t="s">
        <v>5</v>
      </c>
      <c r="E750" t="s">
        <v>26</v>
      </c>
      <c r="F750">
        <v>109416</v>
      </c>
      <c r="G750">
        <v>14</v>
      </c>
      <c r="H750">
        <v>4</v>
      </c>
      <c r="I750" t="s">
        <v>15</v>
      </c>
      <c r="J750" t="str">
        <f t="shared" si="11"/>
        <v>Senior</v>
      </c>
    </row>
    <row r="751" spans="1:10" ht="15.75" customHeight="1" x14ac:dyDescent="0.25">
      <c r="A751">
        <v>1750</v>
      </c>
      <c r="B751">
        <v>27</v>
      </c>
      <c r="C751" t="s">
        <v>10</v>
      </c>
      <c r="D751" t="s">
        <v>18</v>
      </c>
      <c r="E751" t="s">
        <v>23</v>
      </c>
      <c r="F751">
        <v>30821</v>
      </c>
      <c r="G751">
        <v>11</v>
      </c>
      <c r="H751">
        <v>1</v>
      </c>
      <c r="I751" t="s">
        <v>7</v>
      </c>
      <c r="J751" t="str">
        <f t="shared" si="11"/>
        <v>Senior</v>
      </c>
    </row>
    <row r="752" spans="1:10" ht="15.75" customHeight="1" x14ac:dyDescent="0.25">
      <c r="A752">
        <v>1751</v>
      </c>
      <c r="B752">
        <v>53</v>
      </c>
      <c r="C752" t="s">
        <v>4</v>
      </c>
      <c r="D752" t="s">
        <v>18</v>
      </c>
      <c r="E752" t="s">
        <v>23</v>
      </c>
      <c r="F752">
        <v>80106</v>
      </c>
      <c r="G752">
        <v>13</v>
      </c>
      <c r="H752">
        <v>5</v>
      </c>
      <c r="I752" t="s">
        <v>15</v>
      </c>
      <c r="J752" t="str">
        <f t="shared" si="11"/>
        <v>Senior</v>
      </c>
    </row>
    <row r="753" spans="1:10" ht="15.75" customHeight="1" x14ac:dyDescent="0.25">
      <c r="A753">
        <v>1752</v>
      </c>
      <c r="B753">
        <v>49</v>
      </c>
      <c r="C753" t="s">
        <v>4</v>
      </c>
      <c r="D753" t="s">
        <v>5</v>
      </c>
      <c r="E753" t="s">
        <v>6</v>
      </c>
      <c r="F753">
        <v>85018</v>
      </c>
      <c r="G753">
        <v>5</v>
      </c>
      <c r="H753">
        <v>5</v>
      </c>
      <c r="I753" t="s">
        <v>15</v>
      </c>
      <c r="J753" t="str">
        <f t="shared" si="11"/>
        <v>Mid-Level</v>
      </c>
    </row>
    <row r="754" spans="1:10" ht="15.75" customHeight="1" x14ac:dyDescent="0.25">
      <c r="A754">
        <v>1753</v>
      </c>
      <c r="B754">
        <v>28</v>
      </c>
      <c r="C754" t="s">
        <v>4</v>
      </c>
      <c r="D754" t="s">
        <v>16</v>
      </c>
      <c r="E754" t="s">
        <v>25</v>
      </c>
      <c r="F754">
        <v>106551</v>
      </c>
      <c r="G754">
        <v>16</v>
      </c>
      <c r="H754">
        <v>5</v>
      </c>
      <c r="I754" t="s">
        <v>7</v>
      </c>
      <c r="J754" t="str">
        <f t="shared" si="11"/>
        <v>Senior</v>
      </c>
    </row>
    <row r="755" spans="1:10" ht="15.75" customHeight="1" x14ac:dyDescent="0.25">
      <c r="A755">
        <v>1754</v>
      </c>
      <c r="B755">
        <v>27</v>
      </c>
      <c r="C755" t="s">
        <v>4</v>
      </c>
      <c r="D755" t="s">
        <v>18</v>
      </c>
      <c r="E755" t="s">
        <v>23</v>
      </c>
      <c r="F755">
        <v>85095</v>
      </c>
      <c r="G755">
        <v>20</v>
      </c>
      <c r="H755">
        <v>3</v>
      </c>
      <c r="I755" t="s">
        <v>7</v>
      </c>
      <c r="J755" t="str">
        <f t="shared" si="11"/>
        <v>Senior</v>
      </c>
    </row>
    <row r="756" spans="1:10" ht="15.75" customHeight="1" x14ac:dyDescent="0.25">
      <c r="A756">
        <v>1755</v>
      </c>
      <c r="B756">
        <v>36</v>
      </c>
      <c r="C756" t="s">
        <v>10</v>
      </c>
      <c r="D756" t="s">
        <v>18</v>
      </c>
      <c r="E756" t="s">
        <v>19</v>
      </c>
      <c r="F756">
        <v>35947</v>
      </c>
      <c r="G756">
        <v>10</v>
      </c>
      <c r="H756">
        <v>3</v>
      </c>
      <c r="I756" t="s">
        <v>7</v>
      </c>
      <c r="J756" t="str">
        <f t="shared" si="11"/>
        <v>Senior</v>
      </c>
    </row>
    <row r="757" spans="1:10" ht="15.75" customHeight="1" x14ac:dyDescent="0.25">
      <c r="A757">
        <v>1756</v>
      </c>
      <c r="B757">
        <v>46</v>
      </c>
      <c r="C757" t="s">
        <v>10</v>
      </c>
      <c r="D757" t="s">
        <v>18</v>
      </c>
      <c r="E757" t="s">
        <v>19</v>
      </c>
      <c r="F757">
        <v>51388</v>
      </c>
      <c r="G757">
        <v>17</v>
      </c>
      <c r="H757">
        <v>5</v>
      </c>
      <c r="I757" t="s">
        <v>7</v>
      </c>
      <c r="J757" t="str">
        <f t="shared" si="11"/>
        <v>Senior</v>
      </c>
    </row>
    <row r="758" spans="1:10" ht="15.75" customHeight="1" x14ac:dyDescent="0.25">
      <c r="A758">
        <v>1757</v>
      </c>
      <c r="B758">
        <v>53</v>
      </c>
      <c r="C758" t="s">
        <v>4</v>
      </c>
      <c r="D758" t="s">
        <v>16</v>
      </c>
      <c r="E758" t="s">
        <v>25</v>
      </c>
      <c r="F758">
        <v>42278</v>
      </c>
      <c r="G758">
        <v>15</v>
      </c>
      <c r="H758">
        <v>5</v>
      </c>
      <c r="I758" t="s">
        <v>7</v>
      </c>
      <c r="J758" t="str">
        <f t="shared" si="11"/>
        <v>Senior</v>
      </c>
    </row>
    <row r="759" spans="1:10" ht="15.75" customHeight="1" x14ac:dyDescent="0.25">
      <c r="A759">
        <v>1758</v>
      </c>
      <c r="B759">
        <v>48</v>
      </c>
      <c r="C759" t="s">
        <v>10</v>
      </c>
      <c r="D759" t="s">
        <v>21</v>
      </c>
      <c r="E759" t="s">
        <v>22</v>
      </c>
      <c r="F759">
        <v>66447</v>
      </c>
      <c r="G759">
        <v>18</v>
      </c>
      <c r="H759">
        <v>4</v>
      </c>
      <c r="I759" t="s">
        <v>7</v>
      </c>
      <c r="J759" t="str">
        <f t="shared" si="11"/>
        <v>Senior</v>
      </c>
    </row>
    <row r="760" spans="1:10" ht="15.75" customHeight="1" x14ac:dyDescent="0.25">
      <c r="A760">
        <v>1759</v>
      </c>
      <c r="B760">
        <v>28</v>
      </c>
      <c r="C760" t="s">
        <v>10</v>
      </c>
      <c r="D760" t="s">
        <v>8</v>
      </c>
      <c r="E760" t="s">
        <v>9</v>
      </c>
      <c r="F760">
        <v>118271</v>
      </c>
      <c r="G760">
        <v>18</v>
      </c>
      <c r="H760">
        <v>4</v>
      </c>
      <c r="I760" t="s">
        <v>15</v>
      </c>
      <c r="J760" t="str">
        <f t="shared" si="11"/>
        <v>Senior</v>
      </c>
    </row>
    <row r="761" spans="1:10" ht="15.75" customHeight="1" x14ac:dyDescent="0.25">
      <c r="A761">
        <v>1760</v>
      </c>
      <c r="B761">
        <v>37</v>
      </c>
      <c r="C761" t="s">
        <v>10</v>
      </c>
      <c r="D761" t="s">
        <v>18</v>
      </c>
      <c r="E761" t="s">
        <v>19</v>
      </c>
      <c r="F761">
        <v>47632</v>
      </c>
      <c r="G761">
        <v>10</v>
      </c>
      <c r="H761">
        <v>2</v>
      </c>
      <c r="I761" t="s">
        <v>7</v>
      </c>
      <c r="J761" t="str">
        <f t="shared" si="11"/>
        <v>Senior</v>
      </c>
    </row>
    <row r="762" spans="1:10" ht="15.75" customHeight="1" x14ac:dyDescent="0.25">
      <c r="A762">
        <v>1761</v>
      </c>
      <c r="B762">
        <v>35</v>
      </c>
      <c r="C762" t="s">
        <v>10</v>
      </c>
      <c r="D762" t="s">
        <v>16</v>
      </c>
      <c r="E762" t="s">
        <v>17</v>
      </c>
      <c r="F762">
        <v>46806</v>
      </c>
      <c r="G762">
        <v>8</v>
      </c>
      <c r="H762">
        <v>5</v>
      </c>
      <c r="I762" t="s">
        <v>7</v>
      </c>
      <c r="J762" t="str">
        <f t="shared" si="11"/>
        <v>Senior</v>
      </c>
    </row>
    <row r="763" spans="1:10" ht="15.75" customHeight="1" x14ac:dyDescent="0.25">
      <c r="A763">
        <v>1762</v>
      </c>
      <c r="B763">
        <v>58</v>
      </c>
      <c r="C763" t="s">
        <v>4</v>
      </c>
      <c r="D763" t="s">
        <v>8</v>
      </c>
      <c r="E763" t="s">
        <v>9</v>
      </c>
      <c r="F763">
        <v>79568</v>
      </c>
      <c r="G763">
        <v>9</v>
      </c>
      <c r="H763">
        <v>4</v>
      </c>
      <c r="I763" t="s">
        <v>15</v>
      </c>
      <c r="J763" t="str">
        <f t="shared" si="11"/>
        <v>Senior</v>
      </c>
    </row>
    <row r="764" spans="1:10" ht="15.75" customHeight="1" x14ac:dyDescent="0.25">
      <c r="A764">
        <v>1763</v>
      </c>
      <c r="B764">
        <v>52</v>
      </c>
      <c r="C764" t="s">
        <v>10</v>
      </c>
      <c r="D764" t="s">
        <v>21</v>
      </c>
      <c r="E764" t="s">
        <v>24</v>
      </c>
      <c r="F764">
        <v>86403</v>
      </c>
      <c r="G764">
        <v>8</v>
      </c>
      <c r="H764">
        <v>4</v>
      </c>
      <c r="I764" t="s">
        <v>7</v>
      </c>
      <c r="J764" t="str">
        <f t="shared" si="11"/>
        <v>Senior</v>
      </c>
    </row>
    <row r="765" spans="1:10" ht="15.75" customHeight="1" x14ac:dyDescent="0.25">
      <c r="A765">
        <v>1764</v>
      </c>
      <c r="B765">
        <v>23</v>
      </c>
      <c r="C765" t="s">
        <v>10</v>
      </c>
      <c r="D765" t="s">
        <v>11</v>
      </c>
      <c r="E765" t="s">
        <v>12</v>
      </c>
      <c r="F765">
        <v>63770</v>
      </c>
      <c r="G765">
        <v>15</v>
      </c>
      <c r="H765">
        <v>3</v>
      </c>
      <c r="I765" t="s">
        <v>7</v>
      </c>
      <c r="J765" t="str">
        <f t="shared" si="11"/>
        <v>Senior</v>
      </c>
    </row>
    <row r="766" spans="1:10" ht="15.75" customHeight="1" x14ac:dyDescent="0.25">
      <c r="A766">
        <v>1765</v>
      </c>
      <c r="B766">
        <v>50</v>
      </c>
      <c r="C766" t="s">
        <v>4</v>
      </c>
      <c r="D766" t="s">
        <v>16</v>
      </c>
      <c r="E766" t="s">
        <v>25</v>
      </c>
      <c r="F766">
        <v>100513</v>
      </c>
      <c r="G766">
        <v>8</v>
      </c>
      <c r="H766">
        <v>3</v>
      </c>
      <c r="I766" t="s">
        <v>15</v>
      </c>
      <c r="J766" t="str">
        <f t="shared" si="11"/>
        <v>Senior</v>
      </c>
    </row>
    <row r="767" spans="1:10" ht="15.75" customHeight="1" x14ac:dyDescent="0.25">
      <c r="A767">
        <v>1766</v>
      </c>
      <c r="B767">
        <v>39</v>
      </c>
      <c r="C767" t="s">
        <v>4</v>
      </c>
      <c r="D767" t="s">
        <v>8</v>
      </c>
      <c r="E767" t="s">
        <v>13</v>
      </c>
      <c r="F767">
        <v>84103</v>
      </c>
      <c r="G767">
        <v>2</v>
      </c>
      <c r="H767">
        <v>1</v>
      </c>
      <c r="I767" t="s">
        <v>7</v>
      </c>
      <c r="J767" t="str">
        <f t="shared" si="11"/>
        <v>Junior</v>
      </c>
    </row>
    <row r="768" spans="1:10" ht="15.75" customHeight="1" x14ac:dyDescent="0.25">
      <c r="A768">
        <v>1767</v>
      </c>
      <c r="B768">
        <v>47</v>
      </c>
      <c r="C768" t="s">
        <v>10</v>
      </c>
      <c r="D768" t="s">
        <v>21</v>
      </c>
      <c r="E768" t="s">
        <v>24</v>
      </c>
      <c r="F768">
        <v>20343</v>
      </c>
      <c r="G768">
        <v>3</v>
      </c>
      <c r="H768">
        <v>3</v>
      </c>
      <c r="I768" t="s">
        <v>15</v>
      </c>
      <c r="J768" t="str">
        <f t="shared" si="11"/>
        <v>Mid-Level</v>
      </c>
    </row>
    <row r="769" spans="1:10" ht="15.75" customHeight="1" x14ac:dyDescent="0.25">
      <c r="A769">
        <v>1768</v>
      </c>
      <c r="B769">
        <v>24</v>
      </c>
      <c r="C769" t="s">
        <v>4</v>
      </c>
      <c r="D769" t="s">
        <v>8</v>
      </c>
      <c r="E769" t="s">
        <v>9</v>
      </c>
      <c r="F769">
        <v>97300</v>
      </c>
      <c r="G769">
        <v>3</v>
      </c>
      <c r="H769">
        <v>3</v>
      </c>
      <c r="I769" t="s">
        <v>7</v>
      </c>
      <c r="J769" t="str">
        <f t="shared" si="11"/>
        <v>Mid-Level</v>
      </c>
    </row>
    <row r="770" spans="1:10" ht="15.75" customHeight="1" x14ac:dyDescent="0.25">
      <c r="A770">
        <v>1769</v>
      </c>
      <c r="B770">
        <v>27</v>
      </c>
      <c r="C770" t="s">
        <v>10</v>
      </c>
      <c r="D770" t="s">
        <v>5</v>
      </c>
      <c r="E770" t="s">
        <v>26</v>
      </c>
      <c r="F770">
        <v>86239</v>
      </c>
      <c r="G770">
        <v>1</v>
      </c>
      <c r="H770">
        <v>2</v>
      </c>
      <c r="I770" t="s">
        <v>7</v>
      </c>
      <c r="J770" t="str">
        <f t="shared" ref="J770:J833" si="12">IF(G770&lt;3,"Junior",IF(G770&lt;7,"Mid-Level","Senior"))</f>
        <v>Junior</v>
      </c>
    </row>
    <row r="771" spans="1:10" ht="15.75" customHeight="1" x14ac:dyDescent="0.25">
      <c r="A771">
        <v>1770</v>
      </c>
      <c r="B771">
        <v>48</v>
      </c>
      <c r="C771" t="s">
        <v>10</v>
      </c>
      <c r="D771" t="s">
        <v>21</v>
      </c>
      <c r="E771" t="s">
        <v>24</v>
      </c>
      <c r="F771">
        <v>58043</v>
      </c>
      <c r="G771">
        <v>20</v>
      </c>
      <c r="H771">
        <v>4</v>
      </c>
      <c r="I771" t="s">
        <v>15</v>
      </c>
      <c r="J771" t="str">
        <f t="shared" si="12"/>
        <v>Senior</v>
      </c>
    </row>
    <row r="772" spans="1:10" ht="15.75" customHeight="1" x14ac:dyDescent="0.25">
      <c r="A772">
        <v>1771</v>
      </c>
      <c r="B772">
        <v>58</v>
      </c>
      <c r="C772" t="s">
        <v>10</v>
      </c>
      <c r="D772" t="s">
        <v>16</v>
      </c>
      <c r="E772" t="s">
        <v>17</v>
      </c>
      <c r="F772">
        <v>44035</v>
      </c>
      <c r="G772">
        <v>14</v>
      </c>
      <c r="H772">
        <v>1</v>
      </c>
      <c r="I772" t="s">
        <v>7</v>
      </c>
      <c r="J772" t="str">
        <f t="shared" si="12"/>
        <v>Senior</v>
      </c>
    </row>
    <row r="773" spans="1:10" ht="15.75" customHeight="1" x14ac:dyDescent="0.25">
      <c r="A773">
        <v>1772</v>
      </c>
      <c r="B773">
        <v>48</v>
      </c>
      <c r="C773" t="s">
        <v>10</v>
      </c>
      <c r="D773" t="s">
        <v>18</v>
      </c>
      <c r="E773" t="s">
        <v>19</v>
      </c>
      <c r="F773">
        <v>26296</v>
      </c>
      <c r="G773">
        <v>12</v>
      </c>
      <c r="H773">
        <v>4</v>
      </c>
      <c r="I773" t="s">
        <v>7</v>
      </c>
      <c r="J773" t="str">
        <f t="shared" si="12"/>
        <v>Senior</v>
      </c>
    </row>
    <row r="774" spans="1:10" ht="15.75" customHeight="1" x14ac:dyDescent="0.25">
      <c r="A774">
        <v>1773</v>
      </c>
      <c r="B774">
        <v>56</v>
      </c>
      <c r="C774" t="s">
        <v>4</v>
      </c>
      <c r="D774" t="s">
        <v>16</v>
      </c>
      <c r="E774" t="s">
        <v>25</v>
      </c>
      <c r="F774">
        <v>23738</v>
      </c>
      <c r="G774">
        <v>14</v>
      </c>
      <c r="H774">
        <v>4</v>
      </c>
      <c r="I774" t="s">
        <v>7</v>
      </c>
      <c r="J774" t="str">
        <f t="shared" si="12"/>
        <v>Senior</v>
      </c>
    </row>
    <row r="775" spans="1:10" ht="15.75" customHeight="1" x14ac:dyDescent="0.25">
      <c r="A775">
        <v>1774</v>
      </c>
      <c r="B775">
        <v>55</v>
      </c>
      <c r="C775" t="s">
        <v>4</v>
      </c>
      <c r="D775" t="s">
        <v>18</v>
      </c>
      <c r="E775" t="s">
        <v>23</v>
      </c>
      <c r="F775">
        <v>36014</v>
      </c>
      <c r="G775">
        <v>11</v>
      </c>
      <c r="H775">
        <v>3</v>
      </c>
      <c r="I775" t="s">
        <v>7</v>
      </c>
      <c r="J775" t="str">
        <f t="shared" si="12"/>
        <v>Senior</v>
      </c>
    </row>
    <row r="776" spans="1:10" ht="15.75" customHeight="1" x14ac:dyDescent="0.25">
      <c r="A776">
        <v>1775</v>
      </c>
      <c r="B776">
        <v>41</v>
      </c>
      <c r="C776" t="s">
        <v>4</v>
      </c>
      <c r="D776" t="s">
        <v>8</v>
      </c>
      <c r="E776" t="s">
        <v>9</v>
      </c>
      <c r="F776">
        <v>54409</v>
      </c>
      <c r="G776">
        <v>11</v>
      </c>
      <c r="H776">
        <v>2</v>
      </c>
      <c r="I776" t="s">
        <v>7</v>
      </c>
      <c r="J776" t="str">
        <f t="shared" si="12"/>
        <v>Senior</v>
      </c>
    </row>
    <row r="777" spans="1:10" ht="15.75" customHeight="1" x14ac:dyDescent="0.25">
      <c r="A777">
        <v>1776</v>
      </c>
      <c r="B777">
        <v>42</v>
      </c>
      <c r="C777" t="s">
        <v>10</v>
      </c>
      <c r="D777" t="s">
        <v>18</v>
      </c>
      <c r="E777" t="s">
        <v>19</v>
      </c>
      <c r="F777">
        <v>60013</v>
      </c>
      <c r="G777">
        <v>20</v>
      </c>
      <c r="H777">
        <v>5</v>
      </c>
      <c r="I777" t="s">
        <v>7</v>
      </c>
      <c r="J777" t="str">
        <f t="shared" si="12"/>
        <v>Senior</v>
      </c>
    </row>
    <row r="778" spans="1:10" ht="15.75" customHeight="1" x14ac:dyDescent="0.25">
      <c r="A778">
        <v>1777</v>
      </c>
      <c r="B778">
        <v>22</v>
      </c>
      <c r="C778" t="s">
        <v>4</v>
      </c>
      <c r="D778" t="s">
        <v>11</v>
      </c>
      <c r="E778" t="s">
        <v>14</v>
      </c>
      <c r="F778">
        <v>73203</v>
      </c>
      <c r="G778">
        <v>9</v>
      </c>
      <c r="H778">
        <v>4</v>
      </c>
      <c r="I778" t="s">
        <v>7</v>
      </c>
      <c r="J778" t="str">
        <f t="shared" si="12"/>
        <v>Senior</v>
      </c>
    </row>
    <row r="779" spans="1:10" ht="15.75" customHeight="1" x14ac:dyDescent="0.25">
      <c r="A779">
        <v>1778</v>
      </c>
      <c r="B779">
        <v>32</v>
      </c>
      <c r="C779" t="s">
        <v>10</v>
      </c>
      <c r="D779" t="s">
        <v>11</v>
      </c>
      <c r="E779" t="s">
        <v>12</v>
      </c>
      <c r="F779">
        <v>31640</v>
      </c>
      <c r="G779">
        <v>15</v>
      </c>
      <c r="H779">
        <v>1</v>
      </c>
      <c r="I779" t="s">
        <v>7</v>
      </c>
      <c r="J779" t="str">
        <f t="shared" si="12"/>
        <v>Senior</v>
      </c>
    </row>
    <row r="780" spans="1:10" ht="15.75" customHeight="1" x14ac:dyDescent="0.25">
      <c r="A780">
        <v>1779</v>
      </c>
      <c r="B780">
        <v>34</v>
      </c>
      <c r="C780" t="s">
        <v>10</v>
      </c>
      <c r="D780" t="s">
        <v>21</v>
      </c>
      <c r="E780" t="s">
        <v>22</v>
      </c>
      <c r="F780">
        <v>75703</v>
      </c>
      <c r="G780">
        <v>6</v>
      </c>
      <c r="H780">
        <v>3</v>
      </c>
      <c r="I780" t="s">
        <v>7</v>
      </c>
      <c r="J780" t="str">
        <f t="shared" si="12"/>
        <v>Mid-Level</v>
      </c>
    </row>
    <row r="781" spans="1:10" ht="15.75" customHeight="1" x14ac:dyDescent="0.25">
      <c r="A781">
        <v>1780</v>
      </c>
      <c r="B781">
        <v>49</v>
      </c>
      <c r="C781" t="s">
        <v>10</v>
      </c>
      <c r="D781" t="s">
        <v>16</v>
      </c>
      <c r="E781" t="s">
        <v>17</v>
      </c>
      <c r="F781">
        <v>34171</v>
      </c>
      <c r="G781">
        <v>16</v>
      </c>
      <c r="H781">
        <v>2</v>
      </c>
      <c r="I781" t="s">
        <v>7</v>
      </c>
      <c r="J781" t="str">
        <f t="shared" si="12"/>
        <v>Senior</v>
      </c>
    </row>
    <row r="782" spans="1:10" ht="15.75" customHeight="1" x14ac:dyDescent="0.25">
      <c r="A782">
        <v>1781</v>
      </c>
      <c r="B782">
        <v>35</v>
      </c>
      <c r="C782" t="s">
        <v>4</v>
      </c>
      <c r="D782" t="s">
        <v>16</v>
      </c>
      <c r="E782" t="s">
        <v>17</v>
      </c>
      <c r="F782">
        <v>33369</v>
      </c>
      <c r="G782">
        <v>8</v>
      </c>
      <c r="H782">
        <v>2</v>
      </c>
      <c r="I782" t="s">
        <v>7</v>
      </c>
      <c r="J782" t="str">
        <f t="shared" si="12"/>
        <v>Senior</v>
      </c>
    </row>
    <row r="783" spans="1:10" ht="15.75" customHeight="1" x14ac:dyDescent="0.25">
      <c r="A783">
        <v>1782</v>
      </c>
      <c r="B783">
        <v>41</v>
      </c>
      <c r="C783" t="s">
        <v>10</v>
      </c>
      <c r="D783" t="s">
        <v>16</v>
      </c>
      <c r="E783" t="s">
        <v>17</v>
      </c>
      <c r="F783">
        <v>79952</v>
      </c>
      <c r="G783">
        <v>16</v>
      </c>
      <c r="H783">
        <v>4</v>
      </c>
      <c r="I783" t="s">
        <v>7</v>
      </c>
      <c r="J783" t="str">
        <f t="shared" si="12"/>
        <v>Senior</v>
      </c>
    </row>
    <row r="784" spans="1:10" ht="15.75" customHeight="1" x14ac:dyDescent="0.25">
      <c r="A784">
        <v>1783</v>
      </c>
      <c r="B784">
        <v>49</v>
      </c>
      <c r="C784" t="s">
        <v>4</v>
      </c>
      <c r="D784" t="s">
        <v>21</v>
      </c>
      <c r="E784" t="s">
        <v>24</v>
      </c>
      <c r="F784">
        <v>106795</v>
      </c>
      <c r="G784">
        <v>17</v>
      </c>
      <c r="H784">
        <v>3</v>
      </c>
      <c r="I784" t="s">
        <v>15</v>
      </c>
      <c r="J784" t="str">
        <f t="shared" si="12"/>
        <v>Senior</v>
      </c>
    </row>
    <row r="785" spans="1:10" ht="15.75" customHeight="1" x14ac:dyDescent="0.25">
      <c r="A785">
        <v>1784</v>
      </c>
      <c r="B785">
        <v>51</v>
      </c>
      <c r="C785" t="s">
        <v>4</v>
      </c>
      <c r="D785" t="s">
        <v>11</v>
      </c>
      <c r="E785" t="s">
        <v>14</v>
      </c>
      <c r="F785">
        <v>37618</v>
      </c>
      <c r="G785">
        <v>9</v>
      </c>
      <c r="H785">
        <v>3</v>
      </c>
      <c r="I785" t="s">
        <v>7</v>
      </c>
      <c r="J785" t="str">
        <f t="shared" si="12"/>
        <v>Senior</v>
      </c>
    </row>
    <row r="786" spans="1:10" ht="15.75" customHeight="1" x14ac:dyDescent="0.25">
      <c r="A786">
        <v>1785</v>
      </c>
      <c r="B786">
        <v>45</v>
      </c>
      <c r="C786" t="s">
        <v>4</v>
      </c>
      <c r="D786" t="s">
        <v>11</v>
      </c>
      <c r="E786" t="s">
        <v>14</v>
      </c>
      <c r="F786">
        <v>33391</v>
      </c>
      <c r="G786">
        <v>1</v>
      </c>
      <c r="H786">
        <v>2</v>
      </c>
      <c r="I786" t="s">
        <v>7</v>
      </c>
      <c r="J786" t="str">
        <f t="shared" si="12"/>
        <v>Junior</v>
      </c>
    </row>
    <row r="787" spans="1:10" ht="15.75" customHeight="1" x14ac:dyDescent="0.25">
      <c r="A787">
        <v>1786</v>
      </c>
      <c r="B787">
        <v>30</v>
      </c>
      <c r="C787" t="s">
        <v>10</v>
      </c>
      <c r="D787" t="s">
        <v>5</v>
      </c>
      <c r="E787" t="s">
        <v>6</v>
      </c>
      <c r="F787">
        <v>82998</v>
      </c>
      <c r="G787">
        <v>4</v>
      </c>
      <c r="H787">
        <v>4</v>
      </c>
      <c r="I787" t="s">
        <v>15</v>
      </c>
      <c r="J787" t="str">
        <f t="shared" si="12"/>
        <v>Mid-Level</v>
      </c>
    </row>
    <row r="788" spans="1:10" ht="15.75" customHeight="1" x14ac:dyDescent="0.25">
      <c r="A788">
        <v>1787</v>
      </c>
      <c r="B788">
        <v>58</v>
      </c>
      <c r="C788" t="s">
        <v>10</v>
      </c>
      <c r="D788" t="s">
        <v>5</v>
      </c>
      <c r="E788" t="s">
        <v>26</v>
      </c>
      <c r="F788">
        <v>20972</v>
      </c>
      <c r="G788">
        <v>18</v>
      </c>
      <c r="H788">
        <v>3</v>
      </c>
      <c r="I788" t="s">
        <v>7</v>
      </c>
      <c r="J788" t="str">
        <f t="shared" si="12"/>
        <v>Senior</v>
      </c>
    </row>
    <row r="789" spans="1:10" ht="15.75" customHeight="1" x14ac:dyDescent="0.25">
      <c r="A789">
        <v>1788</v>
      </c>
      <c r="B789">
        <v>52</v>
      </c>
      <c r="C789" t="s">
        <v>10</v>
      </c>
      <c r="D789" t="s">
        <v>18</v>
      </c>
      <c r="E789" t="s">
        <v>23</v>
      </c>
      <c r="F789">
        <v>83275</v>
      </c>
      <c r="G789">
        <v>8</v>
      </c>
      <c r="H789">
        <v>3</v>
      </c>
      <c r="I789" t="s">
        <v>7</v>
      </c>
      <c r="J789" t="str">
        <f t="shared" si="12"/>
        <v>Senior</v>
      </c>
    </row>
    <row r="790" spans="1:10" ht="15.75" customHeight="1" x14ac:dyDescent="0.25">
      <c r="A790">
        <v>1789</v>
      </c>
      <c r="B790">
        <v>30</v>
      </c>
      <c r="C790" t="s">
        <v>10</v>
      </c>
      <c r="D790" t="s">
        <v>16</v>
      </c>
      <c r="E790" t="s">
        <v>17</v>
      </c>
      <c r="F790">
        <v>47274</v>
      </c>
      <c r="G790">
        <v>12</v>
      </c>
      <c r="H790">
        <v>4</v>
      </c>
      <c r="I790" t="s">
        <v>7</v>
      </c>
      <c r="J790" t="str">
        <f t="shared" si="12"/>
        <v>Senior</v>
      </c>
    </row>
    <row r="791" spans="1:10" ht="15.75" customHeight="1" x14ac:dyDescent="0.25">
      <c r="A791">
        <v>1790</v>
      </c>
      <c r="B791">
        <v>26</v>
      </c>
      <c r="C791" t="s">
        <v>4</v>
      </c>
      <c r="D791" t="s">
        <v>11</v>
      </c>
      <c r="E791" t="s">
        <v>14</v>
      </c>
      <c r="F791">
        <v>55485</v>
      </c>
      <c r="G791">
        <v>20</v>
      </c>
      <c r="H791">
        <v>3</v>
      </c>
      <c r="I791" t="s">
        <v>15</v>
      </c>
      <c r="J791" t="str">
        <f t="shared" si="12"/>
        <v>Senior</v>
      </c>
    </row>
    <row r="792" spans="1:10" ht="15.75" customHeight="1" x14ac:dyDescent="0.25">
      <c r="A792">
        <v>1791</v>
      </c>
      <c r="B792">
        <v>38</v>
      </c>
      <c r="C792" t="s">
        <v>4</v>
      </c>
      <c r="D792" t="s">
        <v>21</v>
      </c>
      <c r="E792" t="s">
        <v>24</v>
      </c>
      <c r="F792">
        <v>110443</v>
      </c>
      <c r="G792">
        <v>8</v>
      </c>
      <c r="H792">
        <v>2</v>
      </c>
      <c r="I792" t="s">
        <v>7</v>
      </c>
      <c r="J792" t="str">
        <f t="shared" si="12"/>
        <v>Senior</v>
      </c>
    </row>
    <row r="793" spans="1:10" ht="15.75" customHeight="1" x14ac:dyDescent="0.25">
      <c r="A793">
        <v>1792</v>
      </c>
      <c r="B793">
        <v>42</v>
      </c>
      <c r="C793" t="s">
        <v>4</v>
      </c>
      <c r="D793" t="s">
        <v>16</v>
      </c>
      <c r="E793" t="s">
        <v>17</v>
      </c>
      <c r="F793">
        <v>45502</v>
      </c>
      <c r="G793">
        <v>1</v>
      </c>
      <c r="H793">
        <v>3</v>
      </c>
      <c r="I793" t="s">
        <v>7</v>
      </c>
      <c r="J793" t="str">
        <f t="shared" si="12"/>
        <v>Junior</v>
      </c>
    </row>
    <row r="794" spans="1:10" ht="15.75" customHeight="1" x14ac:dyDescent="0.25">
      <c r="A794">
        <v>1793</v>
      </c>
      <c r="B794">
        <v>39</v>
      </c>
      <c r="C794" t="s">
        <v>4</v>
      </c>
      <c r="D794" t="s">
        <v>8</v>
      </c>
      <c r="E794" t="s">
        <v>13</v>
      </c>
      <c r="F794">
        <v>40294</v>
      </c>
      <c r="G794">
        <v>0</v>
      </c>
      <c r="H794">
        <v>2</v>
      </c>
      <c r="I794" t="s">
        <v>7</v>
      </c>
      <c r="J794" t="str">
        <f t="shared" si="12"/>
        <v>Junior</v>
      </c>
    </row>
    <row r="795" spans="1:10" ht="15.75" customHeight="1" x14ac:dyDescent="0.25">
      <c r="A795">
        <v>1794</v>
      </c>
      <c r="B795">
        <v>47</v>
      </c>
      <c r="C795" t="s">
        <v>4</v>
      </c>
      <c r="D795" t="s">
        <v>8</v>
      </c>
      <c r="E795" t="s">
        <v>13</v>
      </c>
      <c r="F795">
        <v>40799</v>
      </c>
      <c r="G795">
        <v>19</v>
      </c>
      <c r="H795">
        <v>1</v>
      </c>
      <c r="I795" t="s">
        <v>7</v>
      </c>
      <c r="J795" t="str">
        <f t="shared" si="12"/>
        <v>Senior</v>
      </c>
    </row>
    <row r="796" spans="1:10" ht="15.75" customHeight="1" x14ac:dyDescent="0.25">
      <c r="A796">
        <v>1795</v>
      </c>
      <c r="B796">
        <v>43</v>
      </c>
      <c r="C796" t="s">
        <v>10</v>
      </c>
      <c r="D796" t="s">
        <v>18</v>
      </c>
      <c r="E796" t="s">
        <v>23</v>
      </c>
      <c r="F796">
        <v>119785</v>
      </c>
      <c r="G796">
        <v>9</v>
      </c>
      <c r="H796">
        <v>5</v>
      </c>
      <c r="I796" t="s">
        <v>7</v>
      </c>
      <c r="J796" t="str">
        <f t="shared" si="12"/>
        <v>Senior</v>
      </c>
    </row>
    <row r="797" spans="1:10" ht="15.75" customHeight="1" x14ac:dyDescent="0.25">
      <c r="A797">
        <v>1796</v>
      </c>
      <c r="B797">
        <v>50</v>
      </c>
      <c r="C797" t="s">
        <v>4</v>
      </c>
      <c r="D797" t="s">
        <v>18</v>
      </c>
      <c r="E797" t="s">
        <v>23</v>
      </c>
      <c r="F797">
        <v>44349</v>
      </c>
      <c r="G797">
        <v>7</v>
      </c>
      <c r="H797">
        <v>1</v>
      </c>
      <c r="I797" t="s">
        <v>15</v>
      </c>
      <c r="J797" t="str">
        <f t="shared" si="12"/>
        <v>Senior</v>
      </c>
    </row>
    <row r="798" spans="1:10" ht="15.75" customHeight="1" x14ac:dyDescent="0.25">
      <c r="A798">
        <v>1797</v>
      </c>
      <c r="B798">
        <v>47</v>
      </c>
      <c r="C798" t="s">
        <v>10</v>
      </c>
      <c r="D798" t="s">
        <v>16</v>
      </c>
      <c r="E798" t="s">
        <v>25</v>
      </c>
      <c r="F798">
        <v>66787</v>
      </c>
      <c r="G798">
        <v>16</v>
      </c>
      <c r="H798">
        <v>1</v>
      </c>
      <c r="I798" t="s">
        <v>15</v>
      </c>
      <c r="J798" t="str">
        <f t="shared" si="12"/>
        <v>Senior</v>
      </c>
    </row>
    <row r="799" spans="1:10" ht="15.75" customHeight="1" x14ac:dyDescent="0.25">
      <c r="A799">
        <v>1798</v>
      </c>
      <c r="B799">
        <v>25</v>
      </c>
      <c r="C799" t="s">
        <v>4</v>
      </c>
      <c r="D799" t="s">
        <v>16</v>
      </c>
      <c r="E799" t="s">
        <v>25</v>
      </c>
      <c r="F799">
        <v>108035</v>
      </c>
      <c r="G799">
        <v>7</v>
      </c>
      <c r="H799">
        <v>4</v>
      </c>
      <c r="I799" t="s">
        <v>7</v>
      </c>
      <c r="J799" t="str">
        <f t="shared" si="12"/>
        <v>Senior</v>
      </c>
    </row>
    <row r="800" spans="1:10" ht="15.75" customHeight="1" x14ac:dyDescent="0.25">
      <c r="A800">
        <v>1799</v>
      </c>
      <c r="B800">
        <v>49</v>
      </c>
      <c r="C800" t="s">
        <v>10</v>
      </c>
      <c r="D800" t="s">
        <v>11</v>
      </c>
      <c r="E800" t="s">
        <v>14</v>
      </c>
      <c r="F800">
        <v>117779</v>
      </c>
      <c r="G800">
        <v>18</v>
      </c>
      <c r="H800">
        <v>2</v>
      </c>
      <c r="I800" t="s">
        <v>7</v>
      </c>
      <c r="J800" t="str">
        <f t="shared" si="12"/>
        <v>Senior</v>
      </c>
    </row>
    <row r="801" spans="1:10" ht="15.75" customHeight="1" x14ac:dyDescent="0.25">
      <c r="A801">
        <v>1800</v>
      </c>
      <c r="B801">
        <v>31</v>
      </c>
      <c r="C801" t="s">
        <v>4</v>
      </c>
      <c r="D801" t="s">
        <v>8</v>
      </c>
      <c r="E801" t="s">
        <v>9</v>
      </c>
      <c r="F801">
        <v>113551</v>
      </c>
      <c r="G801">
        <v>6</v>
      </c>
      <c r="H801">
        <v>2</v>
      </c>
      <c r="I801" t="s">
        <v>7</v>
      </c>
      <c r="J801" t="str">
        <f t="shared" si="12"/>
        <v>Mid-Level</v>
      </c>
    </row>
    <row r="802" spans="1:10" ht="15.75" customHeight="1" x14ac:dyDescent="0.25">
      <c r="A802">
        <v>1801</v>
      </c>
      <c r="B802">
        <v>34</v>
      </c>
      <c r="C802" t="s">
        <v>10</v>
      </c>
      <c r="D802" t="s">
        <v>21</v>
      </c>
      <c r="E802" t="s">
        <v>24</v>
      </c>
      <c r="F802">
        <v>55222</v>
      </c>
      <c r="G802">
        <v>12</v>
      </c>
      <c r="H802">
        <v>3</v>
      </c>
      <c r="I802" t="s">
        <v>7</v>
      </c>
      <c r="J802" t="str">
        <f t="shared" si="12"/>
        <v>Senior</v>
      </c>
    </row>
    <row r="803" spans="1:10" ht="15.75" customHeight="1" x14ac:dyDescent="0.25">
      <c r="A803">
        <v>1802</v>
      </c>
      <c r="B803">
        <v>55</v>
      </c>
      <c r="C803" t="s">
        <v>4</v>
      </c>
      <c r="D803" t="s">
        <v>21</v>
      </c>
      <c r="E803" t="s">
        <v>22</v>
      </c>
      <c r="F803">
        <v>32107</v>
      </c>
      <c r="G803">
        <v>10</v>
      </c>
      <c r="H803">
        <v>4</v>
      </c>
      <c r="I803" t="s">
        <v>7</v>
      </c>
      <c r="J803" t="str">
        <f t="shared" si="12"/>
        <v>Senior</v>
      </c>
    </row>
    <row r="804" spans="1:10" ht="15.75" customHeight="1" x14ac:dyDescent="0.25">
      <c r="A804">
        <v>1803</v>
      </c>
      <c r="B804">
        <v>27</v>
      </c>
      <c r="C804" t="s">
        <v>10</v>
      </c>
      <c r="D804" t="s">
        <v>18</v>
      </c>
      <c r="E804" t="s">
        <v>19</v>
      </c>
      <c r="F804">
        <v>31403</v>
      </c>
      <c r="G804">
        <v>15</v>
      </c>
      <c r="H804">
        <v>5</v>
      </c>
      <c r="I804" t="s">
        <v>7</v>
      </c>
      <c r="J804" t="str">
        <f t="shared" si="12"/>
        <v>Senior</v>
      </c>
    </row>
    <row r="805" spans="1:10" ht="15.75" customHeight="1" x14ac:dyDescent="0.25">
      <c r="A805">
        <v>1804</v>
      </c>
      <c r="B805">
        <v>57</v>
      </c>
      <c r="C805" t="s">
        <v>4</v>
      </c>
      <c r="D805" t="s">
        <v>21</v>
      </c>
      <c r="E805" t="s">
        <v>22</v>
      </c>
      <c r="F805">
        <v>91278</v>
      </c>
      <c r="G805">
        <v>9</v>
      </c>
      <c r="H805">
        <v>2</v>
      </c>
      <c r="I805" t="s">
        <v>7</v>
      </c>
      <c r="J805" t="str">
        <f t="shared" si="12"/>
        <v>Senior</v>
      </c>
    </row>
    <row r="806" spans="1:10" ht="15.75" customHeight="1" x14ac:dyDescent="0.25">
      <c r="A806">
        <v>1805</v>
      </c>
      <c r="B806">
        <v>32</v>
      </c>
      <c r="C806" t="s">
        <v>4</v>
      </c>
      <c r="D806" t="s">
        <v>5</v>
      </c>
      <c r="E806" t="s">
        <v>6</v>
      </c>
      <c r="F806">
        <v>102529</v>
      </c>
      <c r="G806">
        <v>13</v>
      </c>
      <c r="H806">
        <v>4</v>
      </c>
      <c r="I806" t="s">
        <v>7</v>
      </c>
      <c r="J806" t="str">
        <f t="shared" si="12"/>
        <v>Senior</v>
      </c>
    </row>
    <row r="807" spans="1:10" ht="15.75" customHeight="1" x14ac:dyDescent="0.25">
      <c r="A807">
        <v>1806</v>
      </c>
      <c r="B807">
        <v>31</v>
      </c>
      <c r="C807" t="s">
        <v>4</v>
      </c>
      <c r="D807" t="s">
        <v>11</v>
      </c>
      <c r="E807" t="s">
        <v>12</v>
      </c>
      <c r="F807">
        <v>96654</v>
      </c>
      <c r="G807">
        <v>2</v>
      </c>
      <c r="H807">
        <v>5</v>
      </c>
      <c r="I807" t="s">
        <v>15</v>
      </c>
      <c r="J807" t="str">
        <f t="shared" si="12"/>
        <v>Junior</v>
      </c>
    </row>
    <row r="808" spans="1:10" ht="15.75" customHeight="1" x14ac:dyDescent="0.25">
      <c r="A808">
        <v>1807</v>
      </c>
      <c r="B808">
        <v>37</v>
      </c>
      <c r="C808" t="s">
        <v>10</v>
      </c>
      <c r="D808" t="s">
        <v>5</v>
      </c>
      <c r="E808" t="s">
        <v>20</v>
      </c>
      <c r="F808">
        <v>43973</v>
      </c>
      <c r="G808">
        <v>9</v>
      </c>
      <c r="H808">
        <v>1</v>
      </c>
      <c r="I808" t="s">
        <v>7</v>
      </c>
      <c r="J808" t="str">
        <f t="shared" si="12"/>
        <v>Senior</v>
      </c>
    </row>
    <row r="809" spans="1:10" ht="15.75" customHeight="1" x14ac:dyDescent="0.25">
      <c r="A809">
        <v>1808</v>
      </c>
      <c r="B809">
        <v>57</v>
      </c>
      <c r="C809" t="s">
        <v>10</v>
      </c>
      <c r="D809" t="s">
        <v>16</v>
      </c>
      <c r="E809" t="s">
        <v>17</v>
      </c>
      <c r="F809">
        <v>29322</v>
      </c>
      <c r="G809">
        <v>16</v>
      </c>
      <c r="H809">
        <v>3</v>
      </c>
      <c r="I809" t="s">
        <v>15</v>
      </c>
      <c r="J809" t="str">
        <f t="shared" si="12"/>
        <v>Senior</v>
      </c>
    </row>
    <row r="810" spans="1:10" ht="15.75" customHeight="1" x14ac:dyDescent="0.25">
      <c r="A810">
        <v>1809</v>
      </c>
      <c r="B810">
        <v>22</v>
      </c>
      <c r="C810" t="s">
        <v>10</v>
      </c>
      <c r="D810" t="s">
        <v>21</v>
      </c>
      <c r="E810" t="s">
        <v>22</v>
      </c>
      <c r="F810">
        <v>35429</v>
      </c>
      <c r="G810">
        <v>14</v>
      </c>
      <c r="H810">
        <v>1</v>
      </c>
      <c r="I810" t="s">
        <v>7</v>
      </c>
      <c r="J810" t="str">
        <f t="shared" si="12"/>
        <v>Senior</v>
      </c>
    </row>
    <row r="811" spans="1:10" ht="15.75" customHeight="1" x14ac:dyDescent="0.25">
      <c r="A811">
        <v>1810</v>
      </c>
      <c r="B811">
        <v>57</v>
      </c>
      <c r="C811" t="s">
        <v>10</v>
      </c>
      <c r="D811" t="s">
        <v>5</v>
      </c>
      <c r="E811" t="s">
        <v>20</v>
      </c>
      <c r="F811">
        <v>63420</v>
      </c>
      <c r="G811">
        <v>3</v>
      </c>
      <c r="H811">
        <v>2</v>
      </c>
      <c r="I811" t="s">
        <v>7</v>
      </c>
      <c r="J811" t="str">
        <f t="shared" si="12"/>
        <v>Mid-Level</v>
      </c>
    </row>
    <row r="812" spans="1:10" ht="15.75" customHeight="1" x14ac:dyDescent="0.25">
      <c r="A812">
        <v>1811</v>
      </c>
      <c r="B812">
        <v>55</v>
      </c>
      <c r="C812" t="s">
        <v>4</v>
      </c>
      <c r="D812" t="s">
        <v>21</v>
      </c>
      <c r="E812" t="s">
        <v>24</v>
      </c>
      <c r="F812">
        <v>20416</v>
      </c>
      <c r="G812">
        <v>15</v>
      </c>
      <c r="H812">
        <v>1</v>
      </c>
      <c r="I812" t="s">
        <v>15</v>
      </c>
      <c r="J812" t="str">
        <f t="shared" si="12"/>
        <v>Senior</v>
      </c>
    </row>
    <row r="813" spans="1:10" ht="15.75" customHeight="1" x14ac:dyDescent="0.25">
      <c r="A813">
        <v>1812</v>
      </c>
      <c r="B813">
        <v>47</v>
      </c>
      <c r="C813" t="s">
        <v>4</v>
      </c>
      <c r="D813" t="s">
        <v>11</v>
      </c>
      <c r="E813" t="s">
        <v>12</v>
      </c>
      <c r="F813">
        <v>27175</v>
      </c>
      <c r="G813">
        <v>7</v>
      </c>
      <c r="H813">
        <v>3</v>
      </c>
      <c r="I813" t="s">
        <v>7</v>
      </c>
      <c r="J813" t="str">
        <f t="shared" si="12"/>
        <v>Senior</v>
      </c>
    </row>
    <row r="814" spans="1:10" ht="15.75" customHeight="1" x14ac:dyDescent="0.25">
      <c r="A814">
        <v>1813</v>
      </c>
      <c r="B814">
        <v>32</v>
      </c>
      <c r="C814" t="s">
        <v>10</v>
      </c>
      <c r="D814" t="s">
        <v>16</v>
      </c>
      <c r="E814" t="s">
        <v>17</v>
      </c>
      <c r="F814">
        <v>61348</v>
      </c>
      <c r="G814">
        <v>5</v>
      </c>
      <c r="H814">
        <v>5</v>
      </c>
      <c r="I814" t="s">
        <v>15</v>
      </c>
      <c r="J814" t="str">
        <f t="shared" si="12"/>
        <v>Mid-Level</v>
      </c>
    </row>
    <row r="815" spans="1:10" ht="15.75" customHeight="1" x14ac:dyDescent="0.25">
      <c r="A815">
        <v>1814</v>
      </c>
      <c r="B815">
        <v>46</v>
      </c>
      <c r="C815" t="s">
        <v>4</v>
      </c>
      <c r="D815" t="s">
        <v>5</v>
      </c>
      <c r="E815" t="s">
        <v>6</v>
      </c>
      <c r="F815">
        <v>27337</v>
      </c>
      <c r="G815">
        <v>12</v>
      </c>
      <c r="H815">
        <v>3</v>
      </c>
      <c r="I815" t="s">
        <v>15</v>
      </c>
      <c r="J815" t="str">
        <f t="shared" si="12"/>
        <v>Senior</v>
      </c>
    </row>
    <row r="816" spans="1:10" ht="15.75" customHeight="1" x14ac:dyDescent="0.25">
      <c r="A816">
        <v>1815</v>
      </c>
      <c r="B816">
        <v>31</v>
      </c>
      <c r="C816" t="s">
        <v>4</v>
      </c>
      <c r="D816" t="s">
        <v>21</v>
      </c>
      <c r="E816" t="s">
        <v>24</v>
      </c>
      <c r="F816">
        <v>89578</v>
      </c>
      <c r="G816">
        <v>0</v>
      </c>
      <c r="H816">
        <v>3</v>
      </c>
      <c r="I816" t="s">
        <v>15</v>
      </c>
      <c r="J816" t="str">
        <f t="shared" si="12"/>
        <v>Junior</v>
      </c>
    </row>
    <row r="817" spans="1:10" ht="15.75" customHeight="1" x14ac:dyDescent="0.25">
      <c r="A817">
        <v>1816</v>
      </c>
      <c r="B817">
        <v>24</v>
      </c>
      <c r="C817" t="s">
        <v>4</v>
      </c>
      <c r="D817" t="s">
        <v>5</v>
      </c>
      <c r="E817" t="s">
        <v>20</v>
      </c>
      <c r="F817">
        <v>37035</v>
      </c>
      <c r="G817">
        <v>11</v>
      </c>
      <c r="H817">
        <v>2</v>
      </c>
      <c r="I817" t="s">
        <v>7</v>
      </c>
      <c r="J817" t="str">
        <f t="shared" si="12"/>
        <v>Senior</v>
      </c>
    </row>
    <row r="818" spans="1:10" ht="15.75" customHeight="1" x14ac:dyDescent="0.25">
      <c r="A818">
        <v>1817</v>
      </c>
      <c r="B818">
        <v>36</v>
      </c>
      <c r="C818" t="s">
        <v>4</v>
      </c>
      <c r="D818" t="s">
        <v>16</v>
      </c>
      <c r="E818" t="s">
        <v>25</v>
      </c>
      <c r="F818">
        <v>62535</v>
      </c>
      <c r="G818">
        <v>3</v>
      </c>
      <c r="H818">
        <v>3</v>
      </c>
      <c r="I818" t="s">
        <v>7</v>
      </c>
      <c r="J818" t="str">
        <f t="shared" si="12"/>
        <v>Mid-Level</v>
      </c>
    </row>
    <row r="819" spans="1:10" ht="15.75" customHeight="1" x14ac:dyDescent="0.25">
      <c r="A819">
        <v>1818</v>
      </c>
      <c r="B819">
        <v>54</v>
      </c>
      <c r="C819" t="s">
        <v>4</v>
      </c>
      <c r="D819" t="s">
        <v>18</v>
      </c>
      <c r="E819" t="s">
        <v>23</v>
      </c>
      <c r="F819">
        <v>44919</v>
      </c>
      <c r="G819">
        <v>13</v>
      </c>
      <c r="H819">
        <v>1</v>
      </c>
      <c r="I819" t="s">
        <v>7</v>
      </c>
      <c r="J819" t="str">
        <f t="shared" si="12"/>
        <v>Senior</v>
      </c>
    </row>
    <row r="820" spans="1:10" ht="15.75" customHeight="1" x14ac:dyDescent="0.25">
      <c r="A820">
        <v>1819</v>
      </c>
      <c r="B820">
        <v>52</v>
      </c>
      <c r="C820" t="s">
        <v>4</v>
      </c>
      <c r="D820" t="s">
        <v>21</v>
      </c>
      <c r="E820" t="s">
        <v>22</v>
      </c>
      <c r="F820">
        <v>44966</v>
      </c>
      <c r="G820">
        <v>9</v>
      </c>
      <c r="H820">
        <v>1</v>
      </c>
      <c r="I820" t="s">
        <v>7</v>
      </c>
      <c r="J820" t="str">
        <f t="shared" si="12"/>
        <v>Senior</v>
      </c>
    </row>
    <row r="821" spans="1:10" ht="15.75" customHeight="1" x14ac:dyDescent="0.25">
      <c r="A821">
        <v>1820</v>
      </c>
      <c r="B821">
        <v>30</v>
      </c>
      <c r="C821" t="s">
        <v>4</v>
      </c>
      <c r="D821" t="s">
        <v>8</v>
      </c>
      <c r="E821" t="s">
        <v>13</v>
      </c>
      <c r="F821">
        <v>83403</v>
      </c>
      <c r="G821">
        <v>20</v>
      </c>
      <c r="H821">
        <v>4</v>
      </c>
      <c r="I821" t="s">
        <v>7</v>
      </c>
      <c r="J821" t="str">
        <f t="shared" si="12"/>
        <v>Senior</v>
      </c>
    </row>
    <row r="822" spans="1:10" ht="15.75" customHeight="1" x14ac:dyDescent="0.25">
      <c r="A822">
        <v>1821</v>
      </c>
      <c r="B822">
        <v>50</v>
      </c>
      <c r="C822" t="s">
        <v>4</v>
      </c>
      <c r="D822" t="s">
        <v>11</v>
      </c>
      <c r="E822" t="s">
        <v>14</v>
      </c>
      <c r="F822">
        <v>99737</v>
      </c>
      <c r="G822">
        <v>5</v>
      </c>
      <c r="H822">
        <v>3</v>
      </c>
      <c r="I822" t="s">
        <v>7</v>
      </c>
      <c r="J822" t="str">
        <f t="shared" si="12"/>
        <v>Mid-Level</v>
      </c>
    </row>
    <row r="823" spans="1:10" ht="15.75" customHeight="1" x14ac:dyDescent="0.25">
      <c r="A823">
        <v>1822</v>
      </c>
      <c r="B823">
        <v>29</v>
      </c>
      <c r="C823" t="s">
        <v>10</v>
      </c>
      <c r="D823" t="s">
        <v>5</v>
      </c>
      <c r="E823" t="s">
        <v>6</v>
      </c>
      <c r="F823">
        <v>102432</v>
      </c>
      <c r="G823">
        <v>5</v>
      </c>
      <c r="H823">
        <v>3</v>
      </c>
      <c r="I823" t="s">
        <v>7</v>
      </c>
      <c r="J823" t="str">
        <f t="shared" si="12"/>
        <v>Mid-Level</v>
      </c>
    </row>
    <row r="824" spans="1:10" ht="15.75" customHeight="1" x14ac:dyDescent="0.25">
      <c r="A824">
        <v>1823</v>
      </c>
      <c r="B824">
        <v>42</v>
      </c>
      <c r="C824" t="s">
        <v>10</v>
      </c>
      <c r="D824" t="s">
        <v>5</v>
      </c>
      <c r="E824" t="s">
        <v>6</v>
      </c>
      <c r="F824">
        <v>29683</v>
      </c>
      <c r="G824">
        <v>13</v>
      </c>
      <c r="H824">
        <v>3</v>
      </c>
      <c r="I824" t="s">
        <v>7</v>
      </c>
      <c r="J824" t="str">
        <f t="shared" si="12"/>
        <v>Senior</v>
      </c>
    </row>
    <row r="825" spans="1:10" ht="15.75" customHeight="1" x14ac:dyDescent="0.25">
      <c r="A825">
        <v>1824</v>
      </c>
      <c r="B825">
        <v>23</v>
      </c>
      <c r="C825" t="s">
        <v>10</v>
      </c>
      <c r="D825" t="s">
        <v>21</v>
      </c>
      <c r="E825" t="s">
        <v>24</v>
      </c>
      <c r="F825">
        <v>80752</v>
      </c>
      <c r="G825">
        <v>6</v>
      </c>
      <c r="H825">
        <v>1</v>
      </c>
      <c r="I825" t="s">
        <v>7</v>
      </c>
      <c r="J825" t="str">
        <f t="shared" si="12"/>
        <v>Mid-Level</v>
      </c>
    </row>
    <row r="826" spans="1:10" ht="15.75" customHeight="1" x14ac:dyDescent="0.25">
      <c r="A826">
        <v>1825</v>
      </c>
      <c r="B826">
        <v>55</v>
      </c>
      <c r="C826" t="s">
        <v>10</v>
      </c>
      <c r="D826" t="s">
        <v>18</v>
      </c>
      <c r="E826" t="s">
        <v>23</v>
      </c>
      <c r="F826">
        <v>32705</v>
      </c>
      <c r="G826">
        <v>1</v>
      </c>
      <c r="H826">
        <v>2</v>
      </c>
      <c r="I826" t="s">
        <v>7</v>
      </c>
      <c r="J826" t="str">
        <f t="shared" si="12"/>
        <v>Junior</v>
      </c>
    </row>
    <row r="827" spans="1:10" ht="15.75" customHeight="1" x14ac:dyDescent="0.25">
      <c r="A827">
        <v>1826</v>
      </c>
      <c r="B827">
        <v>43</v>
      </c>
      <c r="C827" t="s">
        <v>10</v>
      </c>
      <c r="D827" t="s">
        <v>21</v>
      </c>
      <c r="E827" t="s">
        <v>24</v>
      </c>
      <c r="F827">
        <v>61361</v>
      </c>
      <c r="G827">
        <v>16</v>
      </c>
      <c r="H827">
        <v>3</v>
      </c>
      <c r="I827" t="s">
        <v>7</v>
      </c>
      <c r="J827" t="str">
        <f t="shared" si="12"/>
        <v>Senior</v>
      </c>
    </row>
    <row r="828" spans="1:10" ht="15.75" customHeight="1" x14ac:dyDescent="0.25">
      <c r="A828">
        <v>1827</v>
      </c>
      <c r="B828">
        <v>22</v>
      </c>
      <c r="C828" t="s">
        <v>10</v>
      </c>
      <c r="D828" t="s">
        <v>21</v>
      </c>
      <c r="E828" t="s">
        <v>22</v>
      </c>
      <c r="F828">
        <v>27180</v>
      </c>
      <c r="G828">
        <v>11</v>
      </c>
      <c r="H828">
        <v>5</v>
      </c>
      <c r="I828" t="s">
        <v>7</v>
      </c>
      <c r="J828" t="str">
        <f t="shared" si="12"/>
        <v>Senior</v>
      </c>
    </row>
    <row r="829" spans="1:10" ht="15.75" customHeight="1" x14ac:dyDescent="0.25">
      <c r="A829">
        <v>1828</v>
      </c>
      <c r="B829">
        <v>48</v>
      </c>
      <c r="C829" t="s">
        <v>4</v>
      </c>
      <c r="D829" t="s">
        <v>21</v>
      </c>
      <c r="E829" t="s">
        <v>22</v>
      </c>
      <c r="F829">
        <v>24447</v>
      </c>
      <c r="G829">
        <v>16</v>
      </c>
      <c r="H829">
        <v>1</v>
      </c>
      <c r="I829" t="s">
        <v>7</v>
      </c>
      <c r="J829" t="str">
        <f t="shared" si="12"/>
        <v>Senior</v>
      </c>
    </row>
    <row r="830" spans="1:10" ht="15.75" customHeight="1" x14ac:dyDescent="0.25">
      <c r="A830">
        <v>1829</v>
      </c>
      <c r="B830">
        <v>42</v>
      </c>
      <c r="C830" t="s">
        <v>4</v>
      </c>
      <c r="D830" t="s">
        <v>18</v>
      </c>
      <c r="E830" t="s">
        <v>19</v>
      </c>
      <c r="F830">
        <v>105049</v>
      </c>
      <c r="G830">
        <v>9</v>
      </c>
      <c r="H830">
        <v>4</v>
      </c>
      <c r="I830" t="s">
        <v>7</v>
      </c>
      <c r="J830" t="str">
        <f t="shared" si="12"/>
        <v>Senior</v>
      </c>
    </row>
    <row r="831" spans="1:10" ht="15.75" customHeight="1" x14ac:dyDescent="0.25">
      <c r="A831">
        <v>1830</v>
      </c>
      <c r="B831">
        <v>30</v>
      </c>
      <c r="C831" t="s">
        <v>10</v>
      </c>
      <c r="D831" t="s">
        <v>5</v>
      </c>
      <c r="E831" t="s">
        <v>26</v>
      </c>
      <c r="F831">
        <v>106090</v>
      </c>
      <c r="G831">
        <v>5</v>
      </c>
      <c r="H831">
        <v>3</v>
      </c>
      <c r="I831" t="s">
        <v>7</v>
      </c>
      <c r="J831" t="str">
        <f t="shared" si="12"/>
        <v>Mid-Level</v>
      </c>
    </row>
    <row r="832" spans="1:10" ht="15.75" customHeight="1" x14ac:dyDescent="0.25">
      <c r="A832">
        <v>1831</v>
      </c>
      <c r="B832">
        <v>45</v>
      </c>
      <c r="C832" t="s">
        <v>4</v>
      </c>
      <c r="D832" t="s">
        <v>11</v>
      </c>
      <c r="E832" t="s">
        <v>14</v>
      </c>
      <c r="F832">
        <v>100640</v>
      </c>
      <c r="G832">
        <v>3</v>
      </c>
      <c r="H832">
        <v>1</v>
      </c>
      <c r="I832" t="s">
        <v>15</v>
      </c>
      <c r="J832" t="str">
        <f t="shared" si="12"/>
        <v>Mid-Level</v>
      </c>
    </row>
    <row r="833" spans="1:10" ht="15.75" customHeight="1" x14ac:dyDescent="0.25">
      <c r="A833">
        <v>1832</v>
      </c>
      <c r="B833">
        <v>55</v>
      </c>
      <c r="C833" t="s">
        <v>4</v>
      </c>
      <c r="D833" t="s">
        <v>5</v>
      </c>
      <c r="E833" t="s">
        <v>26</v>
      </c>
      <c r="F833">
        <v>104104</v>
      </c>
      <c r="G833">
        <v>7</v>
      </c>
      <c r="H833">
        <v>4</v>
      </c>
      <c r="I833" t="s">
        <v>7</v>
      </c>
      <c r="J833" t="str">
        <f t="shared" si="12"/>
        <v>Senior</v>
      </c>
    </row>
    <row r="834" spans="1:10" ht="15.75" customHeight="1" x14ac:dyDescent="0.25">
      <c r="A834">
        <v>1833</v>
      </c>
      <c r="B834">
        <v>30</v>
      </c>
      <c r="C834" t="s">
        <v>10</v>
      </c>
      <c r="D834" t="s">
        <v>16</v>
      </c>
      <c r="E834" t="s">
        <v>25</v>
      </c>
      <c r="F834">
        <v>108615</v>
      </c>
      <c r="G834">
        <v>9</v>
      </c>
      <c r="H834">
        <v>1</v>
      </c>
      <c r="I834" t="s">
        <v>15</v>
      </c>
      <c r="J834" t="str">
        <f t="shared" ref="J834:J897" si="13">IF(G834&lt;3,"Junior",IF(G834&lt;7,"Mid-Level","Senior"))</f>
        <v>Senior</v>
      </c>
    </row>
    <row r="835" spans="1:10" ht="15.75" customHeight="1" x14ac:dyDescent="0.25">
      <c r="A835">
        <v>1834</v>
      </c>
      <c r="B835">
        <v>58</v>
      </c>
      <c r="C835" t="s">
        <v>10</v>
      </c>
      <c r="D835" t="s">
        <v>11</v>
      </c>
      <c r="E835" t="s">
        <v>12</v>
      </c>
      <c r="F835">
        <v>100963</v>
      </c>
      <c r="G835">
        <v>19</v>
      </c>
      <c r="H835">
        <v>2</v>
      </c>
      <c r="I835" t="s">
        <v>7</v>
      </c>
      <c r="J835" t="str">
        <f t="shared" si="13"/>
        <v>Senior</v>
      </c>
    </row>
    <row r="836" spans="1:10" ht="15.75" customHeight="1" x14ac:dyDescent="0.25">
      <c r="A836">
        <v>1835</v>
      </c>
      <c r="B836">
        <v>22</v>
      </c>
      <c r="C836" t="s">
        <v>10</v>
      </c>
      <c r="D836" t="s">
        <v>16</v>
      </c>
      <c r="E836" t="s">
        <v>17</v>
      </c>
      <c r="F836">
        <v>74018</v>
      </c>
      <c r="G836">
        <v>4</v>
      </c>
      <c r="H836">
        <v>1</v>
      </c>
      <c r="I836" t="s">
        <v>15</v>
      </c>
      <c r="J836" t="str">
        <f t="shared" si="13"/>
        <v>Mid-Level</v>
      </c>
    </row>
    <row r="837" spans="1:10" ht="15.75" customHeight="1" x14ac:dyDescent="0.25">
      <c r="A837">
        <v>1836</v>
      </c>
      <c r="B837">
        <v>35</v>
      </c>
      <c r="C837" t="s">
        <v>4</v>
      </c>
      <c r="D837" t="s">
        <v>5</v>
      </c>
      <c r="E837" t="s">
        <v>6</v>
      </c>
      <c r="F837">
        <v>30351</v>
      </c>
      <c r="G837">
        <v>2</v>
      </c>
      <c r="H837">
        <v>4</v>
      </c>
      <c r="I837" t="s">
        <v>7</v>
      </c>
      <c r="J837" t="str">
        <f t="shared" si="13"/>
        <v>Junior</v>
      </c>
    </row>
    <row r="838" spans="1:10" ht="15.75" customHeight="1" x14ac:dyDescent="0.25">
      <c r="A838">
        <v>1837</v>
      </c>
      <c r="B838">
        <v>55</v>
      </c>
      <c r="C838" t="s">
        <v>4</v>
      </c>
      <c r="D838" t="s">
        <v>16</v>
      </c>
      <c r="E838" t="s">
        <v>17</v>
      </c>
      <c r="F838">
        <v>73967</v>
      </c>
      <c r="G838">
        <v>18</v>
      </c>
      <c r="H838">
        <v>2</v>
      </c>
      <c r="I838" t="s">
        <v>7</v>
      </c>
      <c r="J838" t="str">
        <f t="shared" si="13"/>
        <v>Senior</v>
      </c>
    </row>
    <row r="839" spans="1:10" ht="15.75" customHeight="1" x14ac:dyDescent="0.25">
      <c r="A839">
        <v>1838</v>
      </c>
      <c r="B839">
        <v>25</v>
      </c>
      <c r="C839" t="s">
        <v>4</v>
      </c>
      <c r="D839" t="s">
        <v>8</v>
      </c>
      <c r="E839" t="s">
        <v>13</v>
      </c>
      <c r="F839">
        <v>46349</v>
      </c>
      <c r="G839">
        <v>16</v>
      </c>
      <c r="H839">
        <v>1</v>
      </c>
      <c r="I839" t="s">
        <v>15</v>
      </c>
      <c r="J839" t="str">
        <f t="shared" si="13"/>
        <v>Senior</v>
      </c>
    </row>
    <row r="840" spans="1:10" ht="15.75" customHeight="1" x14ac:dyDescent="0.25">
      <c r="A840">
        <v>1839</v>
      </c>
      <c r="B840">
        <v>46</v>
      </c>
      <c r="C840" t="s">
        <v>10</v>
      </c>
      <c r="D840" t="s">
        <v>16</v>
      </c>
      <c r="E840" t="s">
        <v>17</v>
      </c>
      <c r="F840">
        <v>43234</v>
      </c>
      <c r="G840">
        <v>12</v>
      </c>
      <c r="H840">
        <v>4</v>
      </c>
      <c r="I840" t="s">
        <v>7</v>
      </c>
      <c r="J840" t="str">
        <f t="shared" si="13"/>
        <v>Senior</v>
      </c>
    </row>
    <row r="841" spans="1:10" ht="15.75" customHeight="1" x14ac:dyDescent="0.25">
      <c r="A841">
        <v>1840</v>
      </c>
      <c r="B841">
        <v>39</v>
      </c>
      <c r="C841" t="s">
        <v>10</v>
      </c>
      <c r="D841" t="s">
        <v>18</v>
      </c>
      <c r="E841" t="s">
        <v>19</v>
      </c>
      <c r="F841">
        <v>99606</v>
      </c>
      <c r="G841">
        <v>8</v>
      </c>
      <c r="H841">
        <v>3</v>
      </c>
      <c r="I841" t="s">
        <v>7</v>
      </c>
      <c r="J841" t="str">
        <f t="shared" si="13"/>
        <v>Senior</v>
      </c>
    </row>
    <row r="842" spans="1:10" ht="15.75" customHeight="1" x14ac:dyDescent="0.25">
      <c r="A842">
        <v>1841</v>
      </c>
      <c r="B842">
        <v>31</v>
      </c>
      <c r="C842" t="s">
        <v>10</v>
      </c>
      <c r="D842" t="s">
        <v>8</v>
      </c>
      <c r="E842" t="s">
        <v>13</v>
      </c>
      <c r="F842">
        <v>96613</v>
      </c>
      <c r="G842">
        <v>0</v>
      </c>
      <c r="H842">
        <v>3</v>
      </c>
      <c r="I842" t="s">
        <v>15</v>
      </c>
      <c r="J842" t="str">
        <f t="shared" si="13"/>
        <v>Junior</v>
      </c>
    </row>
    <row r="843" spans="1:10" ht="15.75" customHeight="1" x14ac:dyDescent="0.25">
      <c r="A843">
        <v>1842</v>
      </c>
      <c r="B843">
        <v>34</v>
      </c>
      <c r="C843" t="s">
        <v>10</v>
      </c>
      <c r="D843" t="s">
        <v>8</v>
      </c>
      <c r="E843" t="s">
        <v>9</v>
      </c>
      <c r="F843">
        <v>63486</v>
      </c>
      <c r="G843">
        <v>12</v>
      </c>
      <c r="H843">
        <v>5</v>
      </c>
      <c r="I843" t="s">
        <v>7</v>
      </c>
      <c r="J843" t="str">
        <f t="shared" si="13"/>
        <v>Senior</v>
      </c>
    </row>
    <row r="844" spans="1:10" ht="15.75" customHeight="1" x14ac:dyDescent="0.25">
      <c r="A844">
        <v>1843</v>
      </c>
      <c r="B844">
        <v>30</v>
      </c>
      <c r="C844" t="s">
        <v>4</v>
      </c>
      <c r="D844" t="s">
        <v>8</v>
      </c>
      <c r="E844" t="s">
        <v>9</v>
      </c>
      <c r="F844">
        <v>92849</v>
      </c>
      <c r="G844">
        <v>10</v>
      </c>
      <c r="H844">
        <v>1</v>
      </c>
      <c r="I844" t="s">
        <v>7</v>
      </c>
      <c r="J844" t="str">
        <f t="shared" si="13"/>
        <v>Senior</v>
      </c>
    </row>
    <row r="845" spans="1:10" ht="15.75" customHeight="1" x14ac:dyDescent="0.25">
      <c r="A845">
        <v>1844</v>
      </c>
      <c r="B845">
        <v>45</v>
      </c>
      <c r="C845" t="s">
        <v>10</v>
      </c>
      <c r="D845" t="s">
        <v>16</v>
      </c>
      <c r="E845" t="s">
        <v>17</v>
      </c>
      <c r="F845">
        <v>108204</v>
      </c>
      <c r="G845">
        <v>4</v>
      </c>
      <c r="H845">
        <v>1</v>
      </c>
      <c r="I845" t="s">
        <v>15</v>
      </c>
      <c r="J845" t="str">
        <f t="shared" si="13"/>
        <v>Mid-Level</v>
      </c>
    </row>
    <row r="846" spans="1:10" ht="15.75" customHeight="1" x14ac:dyDescent="0.25">
      <c r="A846">
        <v>1845</v>
      </c>
      <c r="B846">
        <v>43</v>
      </c>
      <c r="C846" t="s">
        <v>10</v>
      </c>
      <c r="D846" t="s">
        <v>16</v>
      </c>
      <c r="E846" t="s">
        <v>25</v>
      </c>
      <c r="F846">
        <v>60282</v>
      </c>
      <c r="G846">
        <v>11</v>
      </c>
      <c r="H846">
        <v>1</v>
      </c>
      <c r="I846" t="s">
        <v>7</v>
      </c>
      <c r="J846" t="str">
        <f t="shared" si="13"/>
        <v>Senior</v>
      </c>
    </row>
    <row r="847" spans="1:10" ht="15.75" customHeight="1" x14ac:dyDescent="0.25">
      <c r="A847">
        <v>1846</v>
      </c>
      <c r="B847">
        <v>23</v>
      </c>
      <c r="C847" t="s">
        <v>4</v>
      </c>
      <c r="D847" t="s">
        <v>5</v>
      </c>
      <c r="E847" t="s">
        <v>6</v>
      </c>
      <c r="F847">
        <v>29960</v>
      </c>
      <c r="G847">
        <v>1</v>
      </c>
      <c r="H847">
        <v>5</v>
      </c>
      <c r="I847" t="s">
        <v>15</v>
      </c>
      <c r="J847" t="str">
        <f t="shared" si="13"/>
        <v>Junior</v>
      </c>
    </row>
    <row r="848" spans="1:10" ht="15.75" customHeight="1" x14ac:dyDescent="0.25">
      <c r="A848">
        <v>1847</v>
      </c>
      <c r="B848">
        <v>27</v>
      </c>
      <c r="C848" t="s">
        <v>10</v>
      </c>
      <c r="D848" t="s">
        <v>5</v>
      </c>
      <c r="E848" t="s">
        <v>6</v>
      </c>
      <c r="F848">
        <v>85512</v>
      </c>
      <c r="G848">
        <v>10</v>
      </c>
      <c r="H848">
        <v>1</v>
      </c>
      <c r="I848" t="s">
        <v>7</v>
      </c>
      <c r="J848" t="str">
        <f t="shared" si="13"/>
        <v>Senior</v>
      </c>
    </row>
    <row r="849" spans="1:10" ht="15.75" customHeight="1" x14ac:dyDescent="0.25">
      <c r="A849">
        <v>1848</v>
      </c>
      <c r="B849">
        <v>33</v>
      </c>
      <c r="C849" t="s">
        <v>4</v>
      </c>
      <c r="D849" t="s">
        <v>5</v>
      </c>
      <c r="E849" t="s">
        <v>26</v>
      </c>
      <c r="F849">
        <v>67216</v>
      </c>
      <c r="G849">
        <v>17</v>
      </c>
      <c r="H849">
        <v>2</v>
      </c>
      <c r="I849" t="s">
        <v>7</v>
      </c>
      <c r="J849" t="str">
        <f t="shared" si="13"/>
        <v>Senior</v>
      </c>
    </row>
    <row r="850" spans="1:10" ht="15.75" customHeight="1" x14ac:dyDescent="0.25">
      <c r="A850">
        <v>1849</v>
      </c>
      <c r="B850">
        <v>57</v>
      </c>
      <c r="C850" t="s">
        <v>10</v>
      </c>
      <c r="D850" t="s">
        <v>16</v>
      </c>
      <c r="E850" t="s">
        <v>17</v>
      </c>
      <c r="F850">
        <v>86990</v>
      </c>
      <c r="G850">
        <v>2</v>
      </c>
      <c r="H850">
        <v>3</v>
      </c>
      <c r="I850" t="s">
        <v>15</v>
      </c>
      <c r="J850" t="str">
        <f t="shared" si="13"/>
        <v>Junior</v>
      </c>
    </row>
    <row r="851" spans="1:10" ht="15.75" customHeight="1" x14ac:dyDescent="0.25">
      <c r="A851">
        <v>1850</v>
      </c>
      <c r="B851">
        <v>31</v>
      </c>
      <c r="C851" t="s">
        <v>4</v>
      </c>
      <c r="D851" t="s">
        <v>21</v>
      </c>
      <c r="E851" t="s">
        <v>24</v>
      </c>
      <c r="F851">
        <v>54958</v>
      </c>
      <c r="G851">
        <v>9</v>
      </c>
      <c r="H851">
        <v>5</v>
      </c>
      <c r="I851" t="s">
        <v>7</v>
      </c>
      <c r="J851" t="str">
        <f t="shared" si="13"/>
        <v>Senior</v>
      </c>
    </row>
    <row r="852" spans="1:10" ht="15.75" customHeight="1" x14ac:dyDescent="0.25">
      <c r="A852">
        <v>1851</v>
      </c>
      <c r="B852">
        <v>37</v>
      </c>
      <c r="C852" t="s">
        <v>10</v>
      </c>
      <c r="D852" t="s">
        <v>21</v>
      </c>
      <c r="E852" t="s">
        <v>24</v>
      </c>
      <c r="F852">
        <v>42028</v>
      </c>
      <c r="G852">
        <v>9</v>
      </c>
      <c r="H852">
        <v>4</v>
      </c>
      <c r="I852" t="s">
        <v>7</v>
      </c>
      <c r="J852" t="str">
        <f t="shared" si="13"/>
        <v>Senior</v>
      </c>
    </row>
    <row r="853" spans="1:10" ht="15.75" customHeight="1" x14ac:dyDescent="0.25">
      <c r="A853">
        <v>1852</v>
      </c>
      <c r="B853">
        <v>37</v>
      </c>
      <c r="C853" t="s">
        <v>10</v>
      </c>
      <c r="D853" t="s">
        <v>18</v>
      </c>
      <c r="E853" t="s">
        <v>23</v>
      </c>
      <c r="F853">
        <v>114891</v>
      </c>
      <c r="G853">
        <v>10</v>
      </c>
      <c r="H853">
        <v>1</v>
      </c>
      <c r="I853" t="s">
        <v>7</v>
      </c>
      <c r="J853" t="str">
        <f t="shared" si="13"/>
        <v>Senior</v>
      </c>
    </row>
    <row r="854" spans="1:10" ht="15.75" customHeight="1" x14ac:dyDescent="0.25">
      <c r="A854">
        <v>1853</v>
      </c>
      <c r="B854">
        <v>25</v>
      </c>
      <c r="C854" t="s">
        <v>4</v>
      </c>
      <c r="D854" t="s">
        <v>5</v>
      </c>
      <c r="E854" t="s">
        <v>26</v>
      </c>
      <c r="F854">
        <v>73130</v>
      </c>
      <c r="G854">
        <v>15</v>
      </c>
      <c r="H854">
        <v>5</v>
      </c>
      <c r="I854" t="s">
        <v>7</v>
      </c>
      <c r="J854" t="str">
        <f t="shared" si="13"/>
        <v>Senior</v>
      </c>
    </row>
    <row r="855" spans="1:10" ht="15.75" customHeight="1" x14ac:dyDescent="0.25">
      <c r="A855">
        <v>1854</v>
      </c>
      <c r="B855">
        <v>23</v>
      </c>
      <c r="C855" t="s">
        <v>10</v>
      </c>
      <c r="D855" t="s">
        <v>8</v>
      </c>
      <c r="E855" t="s">
        <v>9</v>
      </c>
      <c r="F855">
        <v>37172</v>
      </c>
      <c r="G855">
        <v>5</v>
      </c>
      <c r="H855">
        <v>5</v>
      </c>
      <c r="I855" t="s">
        <v>7</v>
      </c>
      <c r="J855" t="str">
        <f t="shared" si="13"/>
        <v>Mid-Level</v>
      </c>
    </row>
    <row r="856" spans="1:10" ht="15.75" customHeight="1" x14ac:dyDescent="0.25">
      <c r="A856">
        <v>1855</v>
      </c>
      <c r="B856">
        <v>22</v>
      </c>
      <c r="C856" t="s">
        <v>10</v>
      </c>
      <c r="D856" t="s">
        <v>8</v>
      </c>
      <c r="E856" t="s">
        <v>13</v>
      </c>
      <c r="F856">
        <v>48787</v>
      </c>
      <c r="G856">
        <v>4</v>
      </c>
      <c r="H856">
        <v>1</v>
      </c>
      <c r="I856" t="s">
        <v>7</v>
      </c>
      <c r="J856" t="str">
        <f t="shared" si="13"/>
        <v>Mid-Level</v>
      </c>
    </row>
    <row r="857" spans="1:10" ht="15.75" customHeight="1" x14ac:dyDescent="0.25">
      <c r="A857">
        <v>1856</v>
      </c>
      <c r="B857">
        <v>27</v>
      </c>
      <c r="C857" t="s">
        <v>10</v>
      </c>
      <c r="D857" t="s">
        <v>18</v>
      </c>
      <c r="E857" t="s">
        <v>23</v>
      </c>
      <c r="F857">
        <v>54437</v>
      </c>
      <c r="G857">
        <v>15</v>
      </c>
      <c r="H857">
        <v>2</v>
      </c>
      <c r="I857" t="s">
        <v>7</v>
      </c>
      <c r="J857" t="str">
        <f t="shared" si="13"/>
        <v>Senior</v>
      </c>
    </row>
    <row r="858" spans="1:10" ht="15.75" customHeight="1" x14ac:dyDescent="0.25">
      <c r="A858">
        <v>1857</v>
      </c>
      <c r="B858">
        <v>50</v>
      </c>
      <c r="C858" t="s">
        <v>10</v>
      </c>
      <c r="D858" t="s">
        <v>18</v>
      </c>
      <c r="E858" t="s">
        <v>23</v>
      </c>
      <c r="F858">
        <v>83352</v>
      </c>
      <c r="G858">
        <v>4</v>
      </c>
      <c r="H858">
        <v>3</v>
      </c>
      <c r="I858" t="s">
        <v>7</v>
      </c>
      <c r="J858" t="str">
        <f t="shared" si="13"/>
        <v>Mid-Level</v>
      </c>
    </row>
    <row r="859" spans="1:10" ht="15.75" customHeight="1" x14ac:dyDescent="0.25">
      <c r="A859">
        <v>1858</v>
      </c>
      <c r="B859">
        <v>36</v>
      </c>
      <c r="C859" t="s">
        <v>10</v>
      </c>
      <c r="D859" t="s">
        <v>16</v>
      </c>
      <c r="E859" t="s">
        <v>17</v>
      </c>
      <c r="F859">
        <v>102586</v>
      </c>
      <c r="G859">
        <v>5</v>
      </c>
      <c r="H859">
        <v>1</v>
      </c>
      <c r="I859" t="s">
        <v>7</v>
      </c>
      <c r="J859" t="str">
        <f t="shared" si="13"/>
        <v>Mid-Level</v>
      </c>
    </row>
    <row r="860" spans="1:10" ht="15.75" customHeight="1" x14ac:dyDescent="0.25">
      <c r="A860">
        <v>1859</v>
      </c>
      <c r="B860">
        <v>51</v>
      </c>
      <c r="C860" t="s">
        <v>4</v>
      </c>
      <c r="D860" t="s">
        <v>21</v>
      </c>
      <c r="E860" t="s">
        <v>22</v>
      </c>
      <c r="F860">
        <v>61351</v>
      </c>
      <c r="G860">
        <v>1</v>
      </c>
      <c r="H860">
        <v>3</v>
      </c>
      <c r="I860" t="s">
        <v>7</v>
      </c>
      <c r="J860" t="str">
        <f t="shared" si="13"/>
        <v>Junior</v>
      </c>
    </row>
    <row r="861" spans="1:10" ht="15.75" customHeight="1" x14ac:dyDescent="0.25">
      <c r="A861">
        <v>1860</v>
      </c>
      <c r="B861">
        <v>26</v>
      </c>
      <c r="C861" t="s">
        <v>10</v>
      </c>
      <c r="D861" t="s">
        <v>16</v>
      </c>
      <c r="E861" t="s">
        <v>17</v>
      </c>
      <c r="F861">
        <v>97988</v>
      </c>
      <c r="G861">
        <v>0</v>
      </c>
      <c r="H861">
        <v>5</v>
      </c>
      <c r="I861" t="s">
        <v>7</v>
      </c>
      <c r="J861" t="str">
        <f t="shared" si="13"/>
        <v>Junior</v>
      </c>
    </row>
    <row r="862" spans="1:10" ht="15.75" customHeight="1" x14ac:dyDescent="0.25">
      <c r="A862">
        <v>1861</v>
      </c>
      <c r="B862">
        <v>33</v>
      </c>
      <c r="C862" t="s">
        <v>10</v>
      </c>
      <c r="D862" t="s">
        <v>5</v>
      </c>
      <c r="E862" t="s">
        <v>20</v>
      </c>
      <c r="F862">
        <v>88873</v>
      </c>
      <c r="G862">
        <v>10</v>
      </c>
      <c r="H862">
        <v>2</v>
      </c>
      <c r="I862" t="s">
        <v>15</v>
      </c>
      <c r="J862" t="str">
        <f t="shared" si="13"/>
        <v>Senior</v>
      </c>
    </row>
    <row r="863" spans="1:10" ht="15.75" customHeight="1" x14ac:dyDescent="0.25">
      <c r="A863">
        <v>1862</v>
      </c>
      <c r="B863">
        <v>26</v>
      </c>
      <c r="C863" t="s">
        <v>10</v>
      </c>
      <c r="D863" t="s">
        <v>5</v>
      </c>
      <c r="E863" t="s">
        <v>20</v>
      </c>
      <c r="F863">
        <v>87314</v>
      </c>
      <c r="G863">
        <v>11</v>
      </c>
      <c r="H863">
        <v>4</v>
      </c>
      <c r="I863" t="s">
        <v>7</v>
      </c>
      <c r="J863" t="str">
        <f t="shared" si="13"/>
        <v>Senior</v>
      </c>
    </row>
    <row r="864" spans="1:10" ht="15.75" customHeight="1" x14ac:dyDescent="0.25">
      <c r="A864">
        <v>1863</v>
      </c>
      <c r="B864">
        <v>23</v>
      </c>
      <c r="C864" t="s">
        <v>10</v>
      </c>
      <c r="D864" t="s">
        <v>5</v>
      </c>
      <c r="E864" t="s">
        <v>20</v>
      </c>
      <c r="F864">
        <v>91204</v>
      </c>
      <c r="G864">
        <v>9</v>
      </c>
      <c r="H864">
        <v>5</v>
      </c>
      <c r="I864" t="s">
        <v>7</v>
      </c>
      <c r="J864" t="str">
        <f t="shared" si="13"/>
        <v>Senior</v>
      </c>
    </row>
    <row r="865" spans="1:10" ht="15.75" customHeight="1" x14ac:dyDescent="0.25">
      <c r="A865">
        <v>1864</v>
      </c>
      <c r="B865">
        <v>38</v>
      </c>
      <c r="C865" t="s">
        <v>4</v>
      </c>
      <c r="D865" t="s">
        <v>8</v>
      </c>
      <c r="E865" t="s">
        <v>13</v>
      </c>
      <c r="F865">
        <v>35837</v>
      </c>
      <c r="G865">
        <v>2</v>
      </c>
      <c r="H865">
        <v>2</v>
      </c>
      <c r="I865" t="s">
        <v>15</v>
      </c>
      <c r="J865" t="str">
        <f t="shared" si="13"/>
        <v>Junior</v>
      </c>
    </row>
    <row r="866" spans="1:10" ht="15.75" customHeight="1" x14ac:dyDescent="0.25">
      <c r="A866">
        <v>1865</v>
      </c>
      <c r="B866">
        <v>50</v>
      </c>
      <c r="C866" t="s">
        <v>10</v>
      </c>
      <c r="D866" t="s">
        <v>18</v>
      </c>
      <c r="E866" t="s">
        <v>19</v>
      </c>
      <c r="F866">
        <v>58227</v>
      </c>
      <c r="G866">
        <v>3</v>
      </c>
      <c r="H866">
        <v>3</v>
      </c>
      <c r="I866" t="s">
        <v>7</v>
      </c>
      <c r="J866" t="str">
        <f t="shared" si="13"/>
        <v>Mid-Level</v>
      </c>
    </row>
    <row r="867" spans="1:10" ht="15.75" customHeight="1" x14ac:dyDescent="0.25">
      <c r="A867">
        <v>1866</v>
      </c>
      <c r="B867">
        <v>58</v>
      </c>
      <c r="C867" t="s">
        <v>4</v>
      </c>
      <c r="D867" t="s">
        <v>16</v>
      </c>
      <c r="E867" t="s">
        <v>25</v>
      </c>
      <c r="F867">
        <v>58287</v>
      </c>
      <c r="G867">
        <v>9</v>
      </c>
      <c r="H867">
        <v>3</v>
      </c>
      <c r="I867" t="s">
        <v>7</v>
      </c>
      <c r="J867" t="str">
        <f t="shared" si="13"/>
        <v>Senior</v>
      </c>
    </row>
    <row r="868" spans="1:10" ht="15.75" customHeight="1" x14ac:dyDescent="0.25">
      <c r="A868">
        <v>1867</v>
      </c>
      <c r="B868">
        <v>28</v>
      </c>
      <c r="C868" t="s">
        <v>4</v>
      </c>
      <c r="D868" t="s">
        <v>16</v>
      </c>
      <c r="E868" t="s">
        <v>17</v>
      </c>
      <c r="F868">
        <v>36560</v>
      </c>
      <c r="G868">
        <v>20</v>
      </c>
      <c r="H868">
        <v>5</v>
      </c>
      <c r="I868" t="s">
        <v>15</v>
      </c>
      <c r="J868" t="str">
        <f t="shared" si="13"/>
        <v>Senior</v>
      </c>
    </row>
    <row r="869" spans="1:10" ht="15.75" customHeight="1" x14ac:dyDescent="0.25">
      <c r="A869">
        <v>1868</v>
      </c>
      <c r="B869">
        <v>31</v>
      </c>
      <c r="C869" t="s">
        <v>10</v>
      </c>
      <c r="D869" t="s">
        <v>5</v>
      </c>
      <c r="E869" t="s">
        <v>6</v>
      </c>
      <c r="F869">
        <v>115781</v>
      </c>
      <c r="G869">
        <v>18</v>
      </c>
      <c r="H869">
        <v>1</v>
      </c>
      <c r="I869" t="s">
        <v>7</v>
      </c>
      <c r="J869" t="str">
        <f t="shared" si="13"/>
        <v>Senior</v>
      </c>
    </row>
    <row r="870" spans="1:10" ht="15.75" customHeight="1" x14ac:dyDescent="0.25">
      <c r="A870">
        <v>1869</v>
      </c>
      <c r="B870">
        <v>47</v>
      </c>
      <c r="C870" t="s">
        <v>10</v>
      </c>
      <c r="D870" t="s">
        <v>21</v>
      </c>
      <c r="E870" t="s">
        <v>24</v>
      </c>
      <c r="F870">
        <v>22473</v>
      </c>
      <c r="G870">
        <v>16</v>
      </c>
      <c r="H870">
        <v>5</v>
      </c>
      <c r="I870" t="s">
        <v>7</v>
      </c>
      <c r="J870" t="str">
        <f t="shared" si="13"/>
        <v>Senior</v>
      </c>
    </row>
    <row r="871" spans="1:10" ht="15.75" customHeight="1" x14ac:dyDescent="0.25">
      <c r="A871">
        <v>1870</v>
      </c>
      <c r="B871">
        <v>50</v>
      </c>
      <c r="C871" t="s">
        <v>10</v>
      </c>
      <c r="D871" t="s">
        <v>11</v>
      </c>
      <c r="E871" t="s">
        <v>14</v>
      </c>
      <c r="F871">
        <v>72256</v>
      </c>
      <c r="G871">
        <v>2</v>
      </c>
      <c r="H871">
        <v>4</v>
      </c>
      <c r="I871" t="s">
        <v>7</v>
      </c>
      <c r="J871" t="str">
        <f t="shared" si="13"/>
        <v>Junior</v>
      </c>
    </row>
    <row r="872" spans="1:10" ht="15.75" customHeight="1" x14ac:dyDescent="0.25">
      <c r="A872">
        <v>1871</v>
      </c>
      <c r="B872">
        <v>49</v>
      </c>
      <c r="C872" t="s">
        <v>4</v>
      </c>
      <c r="D872" t="s">
        <v>16</v>
      </c>
      <c r="E872" t="s">
        <v>25</v>
      </c>
      <c r="F872">
        <v>109584</v>
      </c>
      <c r="G872">
        <v>10</v>
      </c>
      <c r="H872">
        <v>1</v>
      </c>
      <c r="I872" t="s">
        <v>7</v>
      </c>
      <c r="J872" t="str">
        <f t="shared" si="13"/>
        <v>Senior</v>
      </c>
    </row>
    <row r="873" spans="1:10" ht="15.75" customHeight="1" x14ac:dyDescent="0.25">
      <c r="A873">
        <v>1872</v>
      </c>
      <c r="B873">
        <v>30</v>
      </c>
      <c r="C873" t="s">
        <v>4</v>
      </c>
      <c r="D873" t="s">
        <v>18</v>
      </c>
      <c r="E873" t="s">
        <v>23</v>
      </c>
      <c r="F873">
        <v>113664</v>
      </c>
      <c r="G873">
        <v>16</v>
      </c>
      <c r="H873">
        <v>2</v>
      </c>
      <c r="I873" t="s">
        <v>7</v>
      </c>
      <c r="J873" t="str">
        <f t="shared" si="13"/>
        <v>Senior</v>
      </c>
    </row>
    <row r="874" spans="1:10" ht="15.75" customHeight="1" x14ac:dyDescent="0.25">
      <c r="A874">
        <v>1873</v>
      </c>
      <c r="B874">
        <v>55</v>
      </c>
      <c r="C874" t="s">
        <v>10</v>
      </c>
      <c r="D874" t="s">
        <v>21</v>
      </c>
      <c r="E874" t="s">
        <v>22</v>
      </c>
      <c r="F874">
        <v>80823</v>
      </c>
      <c r="G874">
        <v>8</v>
      </c>
      <c r="H874">
        <v>1</v>
      </c>
      <c r="I874" t="s">
        <v>7</v>
      </c>
      <c r="J874" t="str">
        <f t="shared" si="13"/>
        <v>Senior</v>
      </c>
    </row>
    <row r="875" spans="1:10" ht="15.75" customHeight="1" x14ac:dyDescent="0.25">
      <c r="A875">
        <v>1874</v>
      </c>
      <c r="B875">
        <v>25</v>
      </c>
      <c r="C875" t="s">
        <v>4</v>
      </c>
      <c r="D875" t="s">
        <v>11</v>
      </c>
      <c r="E875" t="s">
        <v>12</v>
      </c>
      <c r="F875">
        <v>106573</v>
      </c>
      <c r="G875">
        <v>1</v>
      </c>
      <c r="H875">
        <v>3</v>
      </c>
      <c r="I875" t="s">
        <v>7</v>
      </c>
      <c r="J875" t="str">
        <f t="shared" si="13"/>
        <v>Junior</v>
      </c>
    </row>
    <row r="876" spans="1:10" ht="15.75" customHeight="1" x14ac:dyDescent="0.25">
      <c r="A876">
        <v>1875</v>
      </c>
      <c r="B876">
        <v>49</v>
      </c>
      <c r="C876" t="s">
        <v>10</v>
      </c>
      <c r="D876" t="s">
        <v>11</v>
      </c>
      <c r="E876" t="s">
        <v>12</v>
      </c>
      <c r="F876">
        <v>55871</v>
      </c>
      <c r="G876">
        <v>13</v>
      </c>
      <c r="H876">
        <v>3</v>
      </c>
      <c r="I876" t="s">
        <v>7</v>
      </c>
      <c r="J876" t="str">
        <f t="shared" si="13"/>
        <v>Senior</v>
      </c>
    </row>
    <row r="877" spans="1:10" ht="15.75" customHeight="1" x14ac:dyDescent="0.25">
      <c r="A877">
        <v>1876</v>
      </c>
      <c r="B877">
        <v>44</v>
      </c>
      <c r="C877" t="s">
        <v>4</v>
      </c>
      <c r="D877" t="s">
        <v>16</v>
      </c>
      <c r="E877" t="s">
        <v>25</v>
      </c>
      <c r="F877">
        <v>27810</v>
      </c>
      <c r="G877">
        <v>14</v>
      </c>
      <c r="H877">
        <v>4</v>
      </c>
      <c r="I877" t="s">
        <v>7</v>
      </c>
      <c r="J877" t="str">
        <f t="shared" si="13"/>
        <v>Senior</v>
      </c>
    </row>
    <row r="878" spans="1:10" ht="15.75" customHeight="1" x14ac:dyDescent="0.25">
      <c r="A878">
        <v>1877</v>
      </c>
      <c r="B878">
        <v>52</v>
      </c>
      <c r="C878" t="s">
        <v>10</v>
      </c>
      <c r="D878" t="s">
        <v>5</v>
      </c>
      <c r="E878" t="s">
        <v>20</v>
      </c>
      <c r="F878">
        <v>54947</v>
      </c>
      <c r="G878">
        <v>2</v>
      </c>
      <c r="H878">
        <v>3</v>
      </c>
      <c r="I878" t="s">
        <v>7</v>
      </c>
      <c r="J878" t="str">
        <f t="shared" si="13"/>
        <v>Junior</v>
      </c>
    </row>
    <row r="879" spans="1:10" ht="15.75" customHeight="1" x14ac:dyDescent="0.25">
      <c r="A879">
        <v>1878</v>
      </c>
      <c r="B879">
        <v>50</v>
      </c>
      <c r="C879" t="s">
        <v>4</v>
      </c>
      <c r="D879" t="s">
        <v>5</v>
      </c>
      <c r="E879" t="s">
        <v>26</v>
      </c>
      <c r="F879">
        <v>102671</v>
      </c>
      <c r="G879">
        <v>17</v>
      </c>
      <c r="H879">
        <v>1</v>
      </c>
      <c r="I879" t="s">
        <v>15</v>
      </c>
      <c r="J879" t="str">
        <f t="shared" si="13"/>
        <v>Senior</v>
      </c>
    </row>
    <row r="880" spans="1:10" ht="15.75" customHeight="1" x14ac:dyDescent="0.25">
      <c r="A880">
        <v>1879</v>
      </c>
      <c r="B880">
        <v>37</v>
      </c>
      <c r="C880" t="s">
        <v>10</v>
      </c>
      <c r="D880" t="s">
        <v>21</v>
      </c>
      <c r="E880" t="s">
        <v>22</v>
      </c>
      <c r="F880">
        <v>44440</v>
      </c>
      <c r="G880">
        <v>0</v>
      </c>
      <c r="H880">
        <v>1</v>
      </c>
      <c r="I880" t="s">
        <v>7</v>
      </c>
      <c r="J880" t="str">
        <f t="shared" si="13"/>
        <v>Junior</v>
      </c>
    </row>
    <row r="881" spans="1:10" ht="15.75" customHeight="1" x14ac:dyDescent="0.25">
      <c r="A881">
        <v>1880</v>
      </c>
      <c r="B881">
        <v>45</v>
      </c>
      <c r="C881" t="s">
        <v>10</v>
      </c>
      <c r="D881" t="s">
        <v>5</v>
      </c>
      <c r="E881" t="s">
        <v>26</v>
      </c>
      <c r="F881">
        <v>37516</v>
      </c>
      <c r="G881">
        <v>9</v>
      </c>
      <c r="H881">
        <v>5</v>
      </c>
      <c r="I881" t="s">
        <v>7</v>
      </c>
      <c r="J881" t="str">
        <f t="shared" si="13"/>
        <v>Senior</v>
      </c>
    </row>
    <row r="882" spans="1:10" ht="15.75" customHeight="1" x14ac:dyDescent="0.25">
      <c r="A882">
        <v>1881</v>
      </c>
      <c r="B882">
        <v>57</v>
      </c>
      <c r="C882" t="s">
        <v>10</v>
      </c>
      <c r="D882" t="s">
        <v>18</v>
      </c>
      <c r="E882" t="s">
        <v>23</v>
      </c>
      <c r="F882">
        <v>55979</v>
      </c>
      <c r="G882">
        <v>8</v>
      </c>
      <c r="H882">
        <v>4</v>
      </c>
      <c r="I882" t="s">
        <v>7</v>
      </c>
      <c r="J882" t="str">
        <f t="shared" si="13"/>
        <v>Senior</v>
      </c>
    </row>
    <row r="883" spans="1:10" ht="15.75" customHeight="1" x14ac:dyDescent="0.25">
      <c r="A883">
        <v>1882</v>
      </c>
      <c r="B883">
        <v>28</v>
      </c>
      <c r="C883" t="s">
        <v>4</v>
      </c>
      <c r="D883" t="s">
        <v>11</v>
      </c>
      <c r="E883" t="s">
        <v>12</v>
      </c>
      <c r="F883">
        <v>53499</v>
      </c>
      <c r="G883">
        <v>2</v>
      </c>
      <c r="H883">
        <v>1</v>
      </c>
      <c r="I883" t="s">
        <v>7</v>
      </c>
      <c r="J883" t="str">
        <f t="shared" si="13"/>
        <v>Junior</v>
      </c>
    </row>
    <row r="884" spans="1:10" ht="15.75" customHeight="1" x14ac:dyDescent="0.25">
      <c r="A884">
        <v>1883</v>
      </c>
      <c r="B884">
        <v>30</v>
      </c>
      <c r="C884" t="s">
        <v>4</v>
      </c>
      <c r="D884" t="s">
        <v>8</v>
      </c>
      <c r="E884" t="s">
        <v>13</v>
      </c>
      <c r="F884">
        <v>43527</v>
      </c>
      <c r="G884">
        <v>15</v>
      </c>
      <c r="H884">
        <v>2</v>
      </c>
      <c r="I884" t="s">
        <v>7</v>
      </c>
      <c r="J884" t="str">
        <f t="shared" si="13"/>
        <v>Senior</v>
      </c>
    </row>
    <row r="885" spans="1:10" ht="15.75" customHeight="1" x14ac:dyDescent="0.25">
      <c r="A885">
        <v>1884</v>
      </c>
      <c r="B885">
        <v>35</v>
      </c>
      <c r="C885" t="s">
        <v>4</v>
      </c>
      <c r="D885" t="s">
        <v>5</v>
      </c>
      <c r="E885" t="s">
        <v>20</v>
      </c>
      <c r="F885">
        <v>67537</v>
      </c>
      <c r="G885">
        <v>20</v>
      </c>
      <c r="H885">
        <v>2</v>
      </c>
      <c r="I885" t="s">
        <v>15</v>
      </c>
      <c r="J885" t="str">
        <f t="shared" si="13"/>
        <v>Senior</v>
      </c>
    </row>
    <row r="886" spans="1:10" ht="15.75" customHeight="1" x14ac:dyDescent="0.25">
      <c r="A886">
        <v>1885</v>
      </c>
      <c r="B886">
        <v>24</v>
      </c>
      <c r="C886" t="s">
        <v>4</v>
      </c>
      <c r="D886" t="s">
        <v>11</v>
      </c>
      <c r="E886" t="s">
        <v>14</v>
      </c>
      <c r="F886">
        <v>99137</v>
      </c>
      <c r="G886">
        <v>13</v>
      </c>
      <c r="H886">
        <v>1</v>
      </c>
      <c r="I886" t="s">
        <v>7</v>
      </c>
      <c r="J886" t="str">
        <f t="shared" si="13"/>
        <v>Senior</v>
      </c>
    </row>
    <row r="887" spans="1:10" ht="15.75" customHeight="1" x14ac:dyDescent="0.25">
      <c r="A887">
        <v>1886</v>
      </c>
      <c r="B887">
        <v>53</v>
      </c>
      <c r="C887" t="s">
        <v>4</v>
      </c>
      <c r="D887" t="s">
        <v>11</v>
      </c>
      <c r="E887" t="s">
        <v>12</v>
      </c>
      <c r="F887">
        <v>91180</v>
      </c>
      <c r="G887">
        <v>1</v>
      </c>
      <c r="H887">
        <v>4</v>
      </c>
      <c r="I887" t="s">
        <v>7</v>
      </c>
      <c r="J887" t="str">
        <f t="shared" si="13"/>
        <v>Junior</v>
      </c>
    </row>
    <row r="888" spans="1:10" ht="15.75" customHeight="1" x14ac:dyDescent="0.25">
      <c r="A888">
        <v>1887</v>
      </c>
      <c r="B888">
        <v>57</v>
      </c>
      <c r="C888" t="s">
        <v>10</v>
      </c>
      <c r="D888" t="s">
        <v>16</v>
      </c>
      <c r="E888" t="s">
        <v>25</v>
      </c>
      <c r="F888">
        <v>108622</v>
      </c>
      <c r="G888">
        <v>12</v>
      </c>
      <c r="H888">
        <v>5</v>
      </c>
      <c r="I888" t="s">
        <v>7</v>
      </c>
      <c r="J888" t="str">
        <f t="shared" si="13"/>
        <v>Senior</v>
      </c>
    </row>
    <row r="889" spans="1:10" ht="15.75" customHeight="1" x14ac:dyDescent="0.25">
      <c r="A889">
        <v>1888</v>
      </c>
      <c r="B889">
        <v>34</v>
      </c>
      <c r="C889" t="s">
        <v>4</v>
      </c>
      <c r="D889" t="s">
        <v>16</v>
      </c>
      <c r="E889" t="s">
        <v>17</v>
      </c>
      <c r="F889">
        <v>103500</v>
      </c>
      <c r="G889">
        <v>1</v>
      </c>
      <c r="H889">
        <v>1</v>
      </c>
      <c r="I889" t="s">
        <v>7</v>
      </c>
      <c r="J889" t="str">
        <f t="shared" si="13"/>
        <v>Junior</v>
      </c>
    </row>
    <row r="890" spans="1:10" ht="15.75" customHeight="1" x14ac:dyDescent="0.25">
      <c r="A890">
        <v>1889</v>
      </c>
      <c r="B890">
        <v>38</v>
      </c>
      <c r="C890" t="s">
        <v>4</v>
      </c>
      <c r="D890" t="s">
        <v>21</v>
      </c>
      <c r="E890" t="s">
        <v>24</v>
      </c>
      <c r="F890">
        <v>28344</v>
      </c>
      <c r="G890">
        <v>14</v>
      </c>
      <c r="H890">
        <v>5</v>
      </c>
      <c r="I890" t="s">
        <v>7</v>
      </c>
      <c r="J890" t="str">
        <f t="shared" si="13"/>
        <v>Senior</v>
      </c>
    </row>
    <row r="891" spans="1:10" ht="15.75" customHeight="1" x14ac:dyDescent="0.25">
      <c r="A891">
        <v>1890</v>
      </c>
      <c r="B891">
        <v>42</v>
      </c>
      <c r="C891" t="s">
        <v>4</v>
      </c>
      <c r="D891" t="s">
        <v>21</v>
      </c>
      <c r="E891" t="s">
        <v>24</v>
      </c>
      <c r="F891">
        <v>118254</v>
      </c>
      <c r="G891">
        <v>14</v>
      </c>
      <c r="H891">
        <v>4</v>
      </c>
      <c r="I891" t="s">
        <v>15</v>
      </c>
      <c r="J891" t="str">
        <f t="shared" si="13"/>
        <v>Senior</v>
      </c>
    </row>
    <row r="892" spans="1:10" ht="15.75" customHeight="1" x14ac:dyDescent="0.25">
      <c r="A892">
        <v>1891</v>
      </c>
      <c r="B892">
        <v>22</v>
      </c>
      <c r="C892" t="s">
        <v>4</v>
      </c>
      <c r="D892" t="s">
        <v>8</v>
      </c>
      <c r="E892" t="s">
        <v>13</v>
      </c>
      <c r="F892">
        <v>86754</v>
      </c>
      <c r="G892">
        <v>18</v>
      </c>
      <c r="H892">
        <v>3</v>
      </c>
      <c r="I892" t="s">
        <v>7</v>
      </c>
      <c r="J892" t="str">
        <f t="shared" si="13"/>
        <v>Senior</v>
      </c>
    </row>
    <row r="893" spans="1:10" ht="15.75" customHeight="1" x14ac:dyDescent="0.25">
      <c r="A893">
        <v>1892</v>
      </c>
      <c r="B893">
        <v>54</v>
      </c>
      <c r="C893" t="s">
        <v>10</v>
      </c>
      <c r="D893" t="s">
        <v>21</v>
      </c>
      <c r="E893" t="s">
        <v>22</v>
      </c>
      <c r="F893">
        <v>119462</v>
      </c>
      <c r="G893">
        <v>11</v>
      </c>
      <c r="H893">
        <v>4</v>
      </c>
      <c r="I893" t="s">
        <v>7</v>
      </c>
      <c r="J893" t="str">
        <f t="shared" si="13"/>
        <v>Senior</v>
      </c>
    </row>
    <row r="894" spans="1:10" ht="15.75" customHeight="1" x14ac:dyDescent="0.25">
      <c r="A894">
        <v>1893</v>
      </c>
      <c r="B894">
        <v>29</v>
      </c>
      <c r="C894" t="s">
        <v>10</v>
      </c>
      <c r="D894" t="s">
        <v>5</v>
      </c>
      <c r="E894" t="s">
        <v>6</v>
      </c>
      <c r="F894">
        <v>90069</v>
      </c>
      <c r="G894">
        <v>2</v>
      </c>
      <c r="H894">
        <v>1</v>
      </c>
      <c r="I894" t="s">
        <v>7</v>
      </c>
      <c r="J894" t="str">
        <f t="shared" si="13"/>
        <v>Junior</v>
      </c>
    </row>
    <row r="895" spans="1:10" ht="15.75" customHeight="1" x14ac:dyDescent="0.25">
      <c r="A895">
        <v>1894</v>
      </c>
      <c r="B895">
        <v>49</v>
      </c>
      <c r="C895" t="s">
        <v>4</v>
      </c>
      <c r="D895" t="s">
        <v>11</v>
      </c>
      <c r="E895" t="s">
        <v>12</v>
      </c>
      <c r="F895">
        <v>106821</v>
      </c>
      <c r="G895">
        <v>2</v>
      </c>
      <c r="H895">
        <v>1</v>
      </c>
      <c r="I895" t="s">
        <v>7</v>
      </c>
      <c r="J895" t="str">
        <f t="shared" si="13"/>
        <v>Junior</v>
      </c>
    </row>
    <row r="896" spans="1:10" ht="15.75" customHeight="1" x14ac:dyDescent="0.25">
      <c r="A896">
        <v>1895</v>
      </c>
      <c r="B896">
        <v>33</v>
      </c>
      <c r="C896" t="s">
        <v>4</v>
      </c>
      <c r="D896" t="s">
        <v>21</v>
      </c>
      <c r="E896" t="s">
        <v>24</v>
      </c>
      <c r="F896">
        <v>34394</v>
      </c>
      <c r="G896">
        <v>7</v>
      </c>
      <c r="H896">
        <v>3</v>
      </c>
      <c r="I896" t="s">
        <v>7</v>
      </c>
      <c r="J896" t="str">
        <f t="shared" si="13"/>
        <v>Senior</v>
      </c>
    </row>
    <row r="897" spans="1:10" ht="15.75" customHeight="1" x14ac:dyDescent="0.25">
      <c r="A897">
        <v>1896</v>
      </c>
      <c r="B897">
        <v>50</v>
      </c>
      <c r="C897" t="s">
        <v>10</v>
      </c>
      <c r="D897" t="s">
        <v>5</v>
      </c>
      <c r="E897" t="s">
        <v>26</v>
      </c>
      <c r="F897">
        <v>49389</v>
      </c>
      <c r="G897">
        <v>2</v>
      </c>
      <c r="H897">
        <v>4</v>
      </c>
      <c r="I897" t="s">
        <v>7</v>
      </c>
      <c r="J897" t="str">
        <f t="shared" si="13"/>
        <v>Junior</v>
      </c>
    </row>
    <row r="898" spans="1:10" ht="15.75" customHeight="1" x14ac:dyDescent="0.25">
      <c r="A898">
        <v>1897</v>
      </c>
      <c r="B898">
        <v>48</v>
      </c>
      <c r="C898" t="s">
        <v>4</v>
      </c>
      <c r="D898" t="s">
        <v>5</v>
      </c>
      <c r="E898" t="s">
        <v>26</v>
      </c>
      <c r="F898">
        <v>99218</v>
      </c>
      <c r="G898">
        <v>1</v>
      </c>
      <c r="H898">
        <v>4</v>
      </c>
      <c r="I898" t="s">
        <v>7</v>
      </c>
      <c r="J898" t="str">
        <f t="shared" ref="J898:J961" si="14">IF(G898&lt;3,"Junior",IF(G898&lt;7,"Mid-Level","Senior"))</f>
        <v>Junior</v>
      </c>
    </row>
    <row r="899" spans="1:10" ht="15.75" customHeight="1" x14ac:dyDescent="0.25">
      <c r="A899">
        <v>1898</v>
      </c>
      <c r="B899">
        <v>41</v>
      </c>
      <c r="C899" t="s">
        <v>4</v>
      </c>
      <c r="D899" t="s">
        <v>5</v>
      </c>
      <c r="E899" t="s">
        <v>20</v>
      </c>
      <c r="F899">
        <v>80652</v>
      </c>
      <c r="G899">
        <v>5</v>
      </c>
      <c r="H899">
        <v>1</v>
      </c>
      <c r="I899" t="s">
        <v>7</v>
      </c>
      <c r="J899" t="str">
        <f t="shared" si="14"/>
        <v>Mid-Level</v>
      </c>
    </row>
    <row r="900" spans="1:10" ht="15.75" customHeight="1" x14ac:dyDescent="0.25">
      <c r="A900">
        <v>1899</v>
      </c>
      <c r="B900">
        <v>47</v>
      </c>
      <c r="C900" t="s">
        <v>4</v>
      </c>
      <c r="D900" t="s">
        <v>18</v>
      </c>
      <c r="E900" t="s">
        <v>19</v>
      </c>
      <c r="F900">
        <v>86679</v>
      </c>
      <c r="G900">
        <v>13</v>
      </c>
      <c r="H900">
        <v>3</v>
      </c>
      <c r="I900" t="s">
        <v>7</v>
      </c>
      <c r="J900" t="str">
        <f t="shared" si="14"/>
        <v>Senior</v>
      </c>
    </row>
    <row r="901" spans="1:10" ht="15.75" customHeight="1" x14ac:dyDescent="0.25">
      <c r="A901">
        <v>1900</v>
      </c>
      <c r="B901">
        <v>50</v>
      </c>
      <c r="C901" t="s">
        <v>4</v>
      </c>
      <c r="D901" t="s">
        <v>18</v>
      </c>
      <c r="E901" t="s">
        <v>19</v>
      </c>
      <c r="F901">
        <v>62688</v>
      </c>
      <c r="G901">
        <v>10</v>
      </c>
      <c r="H901">
        <v>5</v>
      </c>
      <c r="I901" t="s">
        <v>15</v>
      </c>
      <c r="J901" t="str">
        <f t="shared" si="14"/>
        <v>Senior</v>
      </c>
    </row>
    <row r="902" spans="1:10" ht="15.75" customHeight="1" x14ac:dyDescent="0.25">
      <c r="A902">
        <v>1901</v>
      </c>
      <c r="B902">
        <v>26</v>
      </c>
      <c r="C902" t="s">
        <v>10</v>
      </c>
      <c r="D902" t="s">
        <v>16</v>
      </c>
      <c r="E902" t="s">
        <v>25</v>
      </c>
      <c r="F902">
        <v>106815</v>
      </c>
      <c r="G902">
        <v>19</v>
      </c>
      <c r="H902">
        <v>3</v>
      </c>
      <c r="I902" t="s">
        <v>7</v>
      </c>
      <c r="J902" t="str">
        <f t="shared" si="14"/>
        <v>Senior</v>
      </c>
    </row>
    <row r="903" spans="1:10" ht="15.75" customHeight="1" x14ac:dyDescent="0.25">
      <c r="A903">
        <v>1902</v>
      </c>
      <c r="B903">
        <v>35</v>
      </c>
      <c r="C903" t="s">
        <v>4</v>
      </c>
      <c r="D903" t="s">
        <v>5</v>
      </c>
      <c r="E903" t="s">
        <v>20</v>
      </c>
      <c r="F903">
        <v>31078</v>
      </c>
      <c r="G903">
        <v>10</v>
      </c>
      <c r="H903">
        <v>5</v>
      </c>
      <c r="I903" t="s">
        <v>7</v>
      </c>
      <c r="J903" t="str">
        <f t="shared" si="14"/>
        <v>Senior</v>
      </c>
    </row>
    <row r="904" spans="1:10" ht="15.75" customHeight="1" x14ac:dyDescent="0.25">
      <c r="A904">
        <v>1903</v>
      </c>
      <c r="B904">
        <v>40</v>
      </c>
      <c r="C904" t="s">
        <v>4</v>
      </c>
      <c r="D904" t="s">
        <v>18</v>
      </c>
      <c r="E904" t="s">
        <v>19</v>
      </c>
      <c r="F904">
        <v>81369</v>
      </c>
      <c r="G904">
        <v>12</v>
      </c>
      <c r="H904">
        <v>2</v>
      </c>
      <c r="I904" t="s">
        <v>15</v>
      </c>
      <c r="J904" t="str">
        <f t="shared" si="14"/>
        <v>Senior</v>
      </c>
    </row>
    <row r="905" spans="1:10" ht="15.75" customHeight="1" x14ac:dyDescent="0.25">
      <c r="A905">
        <v>1904</v>
      </c>
      <c r="B905">
        <v>50</v>
      </c>
      <c r="C905" t="s">
        <v>4</v>
      </c>
      <c r="D905" t="s">
        <v>11</v>
      </c>
      <c r="E905" t="s">
        <v>12</v>
      </c>
      <c r="F905">
        <v>59748</v>
      </c>
      <c r="G905">
        <v>14</v>
      </c>
      <c r="H905">
        <v>3</v>
      </c>
      <c r="I905" t="s">
        <v>7</v>
      </c>
      <c r="J905" t="str">
        <f t="shared" si="14"/>
        <v>Senior</v>
      </c>
    </row>
    <row r="906" spans="1:10" ht="15.75" customHeight="1" x14ac:dyDescent="0.25">
      <c r="A906">
        <v>1905</v>
      </c>
      <c r="B906">
        <v>23</v>
      </c>
      <c r="C906" t="s">
        <v>4</v>
      </c>
      <c r="D906" t="s">
        <v>11</v>
      </c>
      <c r="E906" t="s">
        <v>12</v>
      </c>
      <c r="F906">
        <v>28834</v>
      </c>
      <c r="G906">
        <v>2</v>
      </c>
      <c r="H906">
        <v>4</v>
      </c>
      <c r="I906" t="s">
        <v>7</v>
      </c>
      <c r="J906" t="str">
        <f t="shared" si="14"/>
        <v>Junior</v>
      </c>
    </row>
    <row r="907" spans="1:10" ht="15.75" customHeight="1" x14ac:dyDescent="0.25">
      <c r="A907">
        <v>1906</v>
      </c>
      <c r="B907">
        <v>27</v>
      </c>
      <c r="C907" t="s">
        <v>10</v>
      </c>
      <c r="D907" t="s">
        <v>16</v>
      </c>
      <c r="E907" t="s">
        <v>17</v>
      </c>
      <c r="F907">
        <v>64057</v>
      </c>
      <c r="G907">
        <v>5</v>
      </c>
      <c r="H907">
        <v>5</v>
      </c>
      <c r="I907" t="s">
        <v>7</v>
      </c>
      <c r="J907" t="str">
        <f t="shared" si="14"/>
        <v>Mid-Level</v>
      </c>
    </row>
    <row r="908" spans="1:10" ht="15.75" customHeight="1" x14ac:dyDescent="0.25">
      <c r="A908">
        <v>1907</v>
      </c>
      <c r="B908">
        <v>37</v>
      </c>
      <c r="C908" t="s">
        <v>10</v>
      </c>
      <c r="D908" t="s">
        <v>16</v>
      </c>
      <c r="E908" t="s">
        <v>17</v>
      </c>
      <c r="F908">
        <v>88242</v>
      </c>
      <c r="G908">
        <v>4</v>
      </c>
      <c r="H908">
        <v>4</v>
      </c>
      <c r="I908" t="s">
        <v>7</v>
      </c>
      <c r="J908" t="str">
        <f t="shared" si="14"/>
        <v>Mid-Level</v>
      </c>
    </row>
    <row r="909" spans="1:10" ht="15.75" customHeight="1" x14ac:dyDescent="0.25">
      <c r="A909">
        <v>1908</v>
      </c>
      <c r="B909">
        <v>26</v>
      </c>
      <c r="C909" t="s">
        <v>10</v>
      </c>
      <c r="D909" t="s">
        <v>16</v>
      </c>
      <c r="E909" t="s">
        <v>25</v>
      </c>
      <c r="F909">
        <v>64426</v>
      </c>
      <c r="G909">
        <v>4</v>
      </c>
      <c r="H909">
        <v>1</v>
      </c>
      <c r="I909" t="s">
        <v>7</v>
      </c>
      <c r="J909" t="str">
        <f t="shared" si="14"/>
        <v>Mid-Level</v>
      </c>
    </row>
    <row r="910" spans="1:10" ht="15.75" customHeight="1" x14ac:dyDescent="0.25">
      <c r="A910">
        <v>1909</v>
      </c>
      <c r="B910">
        <v>58</v>
      </c>
      <c r="C910" t="s">
        <v>4</v>
      </c>
      <c r="D910" t="s">
        <v>8</v>
      </c>
      <c r="E910" t="s">
        <v>9</v>
      </c>
      <c r="F910">
        <v>47752</v>
      </c>
      <c r="G910">
        <v>0</v>
      </c>
      <c r="H910">
        <v>5</v>
      </c>
      <c r="I910" t="s">
        <v>7</v>
      </c>
      <c r="J910" t="str">
        <f t="shared" si="14"/>
        <v>Junior</v>
      </c>
    </row>
    <row r="911" spans="1:10" ht="15.75" customHeight="1" x14ac:dyDescent="0.25">
      <c r="A911">
        <v>1910</v>
      </c>
      <c r="B911">
        <v>57</v>
      </c>
      <c r="C911" t="s">
        <v>4</v>
      </c>
      <c r="D911" t="s">
        <v>11</v>
      </c>
      <c r="E911" t="s">
        <v>12</v>
      </c>
      <c r="F911">
        <v>58086</v>
      </c>
      <c r="G911">
        <v>7</v>
      </c>
      <c r="H911">
        <v>3</v>
      </c>
      <c r="I911" t="s">
        <v>7</v>
      </c>
      <c r="J911" t="str">
        <f t="shared" si="14"/>
        <v>Senior</v>
      </c>
    </row>
    <row r="912" spans="1:10" ht="15.75" customHeight="1" x14ac:dyDescent="0.25">
      <c r="A912">
        <v>1911</v>
      </c>
      <c r="B912">
        <v>36</v>
      </c>
      <c r="C912" t="s">
        <v>4</v>
      </c>
      <c r="D912" t="s">
        <v>5</v>
      </c>
      <c r="E912" t="s">
        <v>6</v>
      </c>
      <c r="F912">
        <v>118199</v>
      </c>
      <c r="G912">
        <v>10</v>
      </c>
      <c r="H912">
        <v>4</v>
      </c>
      <c r="I912" t="s">
        <v>15</v>
      </c>
      <c r="J912" t="str">
        <f t="shared" si="14"/>
        <v>Senior</v>
      </c>
    </row>
    <row r="913" spans="1:10" ht="15.75" customHeight="1" x14ac:dyDescent="0.25">
      <c r="A913">
        <v>1912</v>
      </c>
      <c r="B913">
        <v>45</v>
      </c>
      <c r="C913" t="s">
        <v>4</v>
      </c>
      <c r="D913" t="s">
        <v>21</v>
      </c>
      <c r="E913" t="s">
        <v>24</v>
      </c>
      <c r="F913">
        <v>67341</v>
      </c>
      <c r="G913">
        <v>10</v>
      </c>
      <c r="H913">
        <v>4</v>
      </c>
      <c r="I913" t="s">
        <v>15</v>
      </c>
      <c r="J913" t="str">
        <f t="shared" si="14"/>
        <v>Senior</v>
      </c>
    </row>
    <row r="914" spans="1:10" ht="15.75" customHeight="1" x14ac:dyDescent="0.25">
      <c r="A914">
        <v>1913</v>
      </c>
      <c r="B914">
        <v>39</v>
      </c>
      <c r="C914" t="s">
        <v>10</v>
      </c>
      <c r="D914" t="s">
        <v>16</v>
      </c>
      <c r="E914" t="s">
        <v>25</v>
      </c>
      <c r="F914">
        <v>35039</v>
      </c>
      <c r="G914">
        <v>3</v>
      </c>
      <c r="H914">
        <v>4</v>
      </c>
      <c r="I914" t="s">
        <v>7</v>
      </c>
      <c r="J914" t="str">
        <f t="shared" si="14"/>
        <v>Mid-Level</v>
      </c>
    </row>
    <row r="915" spans="1:10" ht="15.75" customHeight="1" x14ac:dyDescent="0.25">
      <c r="A915">
        <v>1914</v>
      </c>
      <c r="B915">
        <v>49</v>
      </c>
      <c r="C915" t="s">
        <v>10</v>
      </c>
      <c r="D915" t="s">
        <v>21</v>
      </c>
      <c r="E915" t="s">
        <v>22</v>
      </c>
      <c r="F915">
        <v>108647</v>
      </c>
      <c r="G915">
        <v>9</v>
      </c>
      <c r="H915">
        <v>5</v>
      </c>
      <c r="I915" t="s">
        <v>7</v>
      </c>
      <c r="J915" t="str">
        <f t="shared" si="14"/>
        <v>Senior</v>
      </c>
    </row>
    <row r="916" spans="1:10" ht="15.75" customHeight="1" x14ac:dyDescent="0.25">
      <c r="A916">
        <v>1915</v>
      </c>
      <c r="B916">
        <v>24</v>
      </c>
      <c r="C916" t="s">
        <v>10</v>
      </c>
      <c r="D916" t="s">
        <v>18</v>
      </c>
      <c r="E916" t="s">
        <v>19</v>
      </c>
      <c r="F916">
        <v>63811</v>
      </c>
      <c r="G916">
        <v>15</v>
      </c>
      <c r="H916">
        <v>5</v>
      </c>
      <c r="I916" t="s">
        <v>7</v>
      </c>
      <c r="J916" t="str">
        <f t="shared" si="14"/>
        <v>Senior</v>
      </c>
    </row>
    <row r="917" spans="1:10" ht="15.75" customHeight="1" x14ac:dyDescent="0.25">
      <c r="A917">
        <v>1916</v>
      </c>
      <c r="B917">
        <v>32</v>
      </c>
      <c r="C917" t="s">
        <v>4</v>
      </c>
      <c r="D917" t="s">
        <v>5</v>
      </c>
      <c r="E917" t="s">
        <v>20</v>
      </c>
      <c r="F917">
        <v>101034</v>
      </c>
      <c r="G917">
        <v>17</v>
      </c>
      <c r="H917">
        <v>3</v>
      </c>
      <c r="I917" t="s">
        <v>7</v>
      </c>
      <c r="J917" t="str">
        <f t="shared" si="14"/>
        <v>Senior</v>
      </c>
    </row>
    <row r="918" spans="1:10" ht="15.75" customHeight="1" x14ac:dyDescent="0.25">
      <c r="A918">
        <v>1917</v>
      </c>
      <c r="B918">
        <v>25</v>
      </c>
      <c r="C918" t="s">
        <v>10</v>
      </c>
      <c r="D918" t="s">
        <v>21</v>
      </c>
      <c r="E918" t="s">
        <v>22</v>
      </c>
      <c r="F918">
        <v>56935</v>
      </c>
      <c r="G918">
        <v>10</v>
      </c>
      <c r="H918">
        <v>3</v>
      </c>
      <c r="I918" t="s">
        <v>7</v>
      </c>
      <c r="J918" t="str">
        <f t="shared" si="14"/>
        <v>Senior</v>
      </c>
    </row>
    <row r="919" spans="1:10" ht="15.75" customHeight="1" x14ac:dyDescent="0.25">
      <c r="A919">
        <v>1918</v>
      </c>
      <c r="B919">
        <v>33</v>
      </c>
      <c r="C919" t="s">
        <v>4</v>
      </c>
      <c r="D919" t="s">
        <v>5</v>
      </c>
      <c r="E919" t="s">
        <v>26</v>
      </c>
      <c r="F919">
        <v>47618</v>
      </c>
      <c r="G919">
        <v>17</v>
      </c>
      <c r="H919">
        <v>3</v>
      </c>
      <c r="I919" t="s">
        <v>7</v>
      </c>
      <c r="J919" t="str">
        <f t="shared" si="14"/>
        <v>Senior</v>
      </c>
    </row>
    <row r="920" spans="1:10" ht="15.75" customHeight="1" x14ac:dyDescent="0.25">
      <c r="A920">
        <v>1919</v>
      </c>
      <c r="B920">
        <v>54</v>
      </c>
      <c r="C920" t="s">
        <v>10</v>
      </c>
      <c r="D920" t="s">
        <v>11</v>
      </c>
      <c r="E920" t="s">
        <v>14</v>
      </c>
      <c r="F920">
        <v>39407</v>
      </c>
      <c r="G920">
        <v>9</v>
      </c>
      <c r="H920">
        <v>2</v>
      </c>
      <c r="I920" t="s">
        <v>7</v>
      </c>
      <c r="J920" t="str">
        <f t="shared" si="14"/>
        <v>Senior</v>
      </c>
    </row>
    <row r="921" spans="1:10" ht="15.75" customHeight="1" x14ac:dyDescent="0.25">
      <c r="A921">
        <v>1920</v>
      </c>
      <c r="B921">
        <v>55</v>
      </c>
      <c r="C921" t="s">
        <v>4</v>
      </c>
      <c r="D921" t="s">
        <v>8</v>
      </c>
      <c r="E921" t="s">
        <v>13</v>
      </c>
      <c r="F921">
        <v>96955</v>
      </c>
      <c r="G921">
        <v>10</v>
      </c>
      <c r="H921">
        <v>4</v>
      </c>
      <c r="I921" t="s">
        <v>7</v>
      </c>
      <c r="J921" t="str">
        <f t="shared" si="14"/>
        <v>Senior</v>
      </c>
    </row>
    <row r="922" spans="1:10" ht="15.75" customHeight="1" x14ac:dyDescent="0.25">
      <c r="A922">
        <v>1921</v>
      </c>
      <c r="B922">
        <v>48</v>
      </c>
      <c r="C922" t="s">
        <v>10</v>
      </c>
      <c r="D922" t="s">
        <v>18</v>
      </c>
      <c r="E922" t="s">
        <v>19</v>
      </c>
      <c r="F922">
        <v>76950</v>
      </c>
      <c r="G922">
        <v>8</v>
      </c>
      <c r="H922">
        <v>2</v>
      </c>
      <c r="I922" t="s">
        <v>7</v>
      </c>
      <c r="J922" t="str">
        <f t="shared" si="14"/>
        <v>Senior</v>
      </c>
    </row>
    <row r="923" spans="1:10" ht="15.75" customHeight="1" x14ac:dyDescent="0.25">
      <c r="A923">
        <v>1922</v>
      </c>
      <c r="B923">
        <v>47</v>
      </c>
      <c r="C923" t="s">
        <v>4</v>
      </c>
      <c r="D923" t="s">
        <v>5</v>
      </c>
      <c r="E923" t="s">
        <v>20</v>
      </c>
      <c r="F923">
        <v>46215</v>
      </c>
      <c r="G923">
        <v>1</v>
      </c>
      <c r="H923">
        <v>2</v>
      </c>
      <c r="I923" t="s">
        <v>7</v>
      </c>
      <c r="J923" t="str">
        <f t="shared" si="14"/>
        <v>Junior</v>
      </c>
    </row>
    <row r="924" spans="1:10" ht="15.75" customHeight="1" x14ac:dyDescent="0.25">
      <c r="A924">
        <v>1923</v>
      </c>
      <c r="B924">
        <v>58</v>
      </c>
      <c r="C924" t="s">
        <v>10</v>
      </c>
      <c r="D924" t="s">
        <v>21</v>
      </c>
      <c r="E924" t="s">
        <v>24</v>
      </c>
      <c r="F924">
        <v>37662</v>
      </c>
      <c r="G924">
        <v>13</v>
      </c>
      <c r="H924">
        <v>4</v>
      </c>
      <c r="I924" t="s">
        <v>7</v>
      </c>
      <c r="J924" t="str">
        <f t="shared" si="14"/>
        <v>Senior</v>
      </c>
    </row>
    <row r="925" spans="1:10" ht="15.75" customHeight="1" x14ac:dyDescent="0.25">
      <c r="A925">
        <v>1924</v>
      </c>
      <c r="B925">
        <v>34</v>
      </c>
      <c r="C925" t="s">
        <v>4</v>
      </c>
      <c r="D925" t="s">
        <v>21</v>
      </c>
      <c r="E925" t="s">
        <v>24</v>
      </c>
      <c r="F925">
        <v>25741</v>
      </c>
      <c r="G925">
        <v>15</v>
      </c>
      <c r="H925">
        <v>3</v>
      </c>
      <c r="I925" t="s">
        <v>7</v>
      </c>
      <c r="J925" t="str">
        <f t="shared" si="14"/>
        <v>Senior</v>
      </c>
    </row>
    <row r="926" spans="1:10" ht="15.75" customHeight="1" x14ac:dyDescent="0.25">
      <c r="A926">
        <v>1925</v>
      </c>
      <c r="B926">
        <v>58</v>
      </c>
      <c r="C926" t="s">
        <v>10</v>
      </c>
      <c r="D926" t="s">
        <v>5</v>
      </c>
      <c r="E926" t="s">
        <v>6</v>
      </c>
      <c r="F926">
        <v>53437</v>
      </c>
      <c r="G926">
        <v>10</v>
      </c>
      <c r="H926">
        <v>3</v>
      </c>
      <c r="I926" t="s">
        <v>7</v>
      </c>
      <c r="J926" t="str">
        <f t="shared" si="14"/>
        <v>Senior</v>
      </c>
    </row>
    <row r="927" spans="1:10" ht="15.75" customHeight="1" x14ac:dyDescent="0.25">
      <c r="A927">
        <v>1926</v>
      </c>
      <c r="B927">
        <v>33</v>
      </c>
      <c r="C927" t="s">
        <v>10</v>
      </c>
      <c r="D927" t="s">
        <v>21</v>
      </c>
      <c r="E927" t="s">
        <v>22</v>
      </c>
      <c r="F927">
        <v>61299</v>
      </c>
      <c r="G927">
        <v>18</v>
      </c>
      <c r="H927">
        <v>5</v>
      </c>
      <c r="I927" t="s">
        <v>7</v>
      </c>
      <c r="J927" t="str">
        <f t="shared" si="14"/>
        <v>Senior</v>
      </c>
    </row>
    <row r="928" spans="1:10" ht="15.75" customHeight="1" x14ac:dyDescent="0.25">
      <c r="A928">
        <v>1927</v>
      </c>
      <c r="B928">
        <v>37</v>
      </c>
      <c r="C928" t="s">
        <v>10</v>
      </c>
      <c r="D928" t="s">
        <v>21</v>
      </c>
      <c r="E928" t="s">
        <v>22</v>
      </c>
      <c r="F928">
        <v>39306</v>
      </c>
      <c r="G928">
        <v>11</v>
      </c>
      <c r="H928">
        <v>2</v>
      </c>
      <c r="I928" t="s">
        <v>7</v>
      </c>
      <c r="J928" t="str">
        <f t="shared" si="14"/>
        <v>Senior</v>
      </c>
    </row>
    <row r="929" spans="1:10" ht="15.75" customHeight="1" x14ac:dyDescent="0.25">
      <c r="A929">
        <v>1928</v>
      </c>
      <c r="B929">
        <v>36</v>
      </c>
      <c r="C929" t="s">
        <v>10</v>
      </c>
      <c r="D929" t="s">
        <v>18</v>
      </c>
      <c r="E929" t="s">
        <v>23</v>
      </c>
      <c r="F929">
        <v>83763</v>
      </c>
      <c r="G929">
        <v>7</v>
      </c>
      <c r="H929">
        <v>3</v>
      </c>
      <c r="I929" t="s">
        <v>7</v>
      </c>
      <c r="J929" t="str">
        <f t="shared" si="14"/>
        <v>Senior</v>
      </c>
    </row>
    <row r="930" spans="1:10" ht="15.75" customHeight="1" x14ac:dyDescent="0.25">
      <c r="A930">
        <v>1929</v>
      </c>
      <c r="B930">
        <v>40</v>
      </c>
      <c r="C930" t="s">
        <v>4</v>
      </c>
      <c r="D930" t="s">
        <v>16</v>
      </c>
      <c r="E930" t="s">
        <v>17</v>
      </c>
      <c r="F930">
        <v>65602</v>
      </c>
      <c r="G930">
        <v>20</v>
      </c>
      <c r="H930">
        <v>5</v>
      </c>
      <c r="I930" t="s">
        <v>7</v>
      </c>
      <c r="J930" t="str">
        <f t="shared" si="14"/>
        <v>Senior</v>
      </c>
    </row>
    <row r="931" spans="1:10" ht="15.75" customHeight="1" x14ac:dyDescent="0.25">
      <c r="A931">
        <v>1930</v>
      </c>
      <c r="B931">
        <v>26</v>
      </c>
      <c r="C931" t="s">
        <v>4</v>
      </c>
      <c r="D931" t="s">
        <v>5</v>
      </c>
      <c r="E931" t="s">
        <v>26</v>
      </c>
      <c r="F931">
        <v>68648</v>
      </c>
      <c r="G931">
        <v>3</v>
      </c>
      <c r="H931">
        <v>1</v>
      </c>
      <c r="I931" t="s">
        <v>7</v>
      </c>
      <c r="J931" t="str">
        <f t="shared" si="14"/>
        <v>Mid-Level</v>
      </c>
    </row>
    <row r="932" spans="1:10" ht="15.75" customHeight="1" x14ac:dyDescent="0.25">
      <c r="A932">
        <v>1931</v>
      </c>
      <c r="B932">
        <v>50</v>
      </c>
      <c r="C932" t="s">
        <v>4</v>
      </c>
      <c r="D932" t="s">
        <v>5</v>
      </c>
      <c r="E932" t="s">
        <v>20</v>
      </c>
      <c r="F932">
        <v>36612</v>
      </c>
      <c r="G932">
        <v>8</v>
      </c>
      <c r="H932">
        <v>1</v>
      </c>
      <c r="I932" t="s">
        <v>7</v>
      </c>
      <c r="J932" t="str">
        <f t="shared" si="14"/>
        <v>Senior</v>
      </c>
    </row>
    <row r="933" spans="1:10" ht="15.75" customHeight="1" x14ac:dyDescent="0.25">
      <c r="A933">
        <v>1932</v>
      </c>
      <c r="B933">
        <v>57</v>
      </c>
      <c r="C933" t="s">
        <v>4</v>
      </c>
      <c r="D933" t="s">
        <v>8</v>
      </c>
      <c r="E933" t="s">
        <v>13</v>
      </c>
      <c r="F933">
        <v>83841</v>
      </c>
      <c r="G933">
        <v>11</v>
      </c>
      <c r="H933">
        <v>1</v>
      </c>
      <c r="I933" t="s">
        <v>7</v>
      </c>
      <c r="J933" t="str">
        <f t="shared" si="14"/>
        <v>Senior</v>
      </c>
    </row>
    <row r="934" spans="1:10" ht="15.75" customHeight="1" x14ac:dyDescent="0.25">
      <c r="A934">
        <v>1933</v>
      </c>
      <c r="B934">
        <v>46</v>
      </c>
      <c r="C934" t="s">
        <v>10</v>
      </c>
      <c r="D934" t="s">
        <v>16</v>
      </c>
      <c r="E934" t="s">
        <v>25</v>
      </c>
      <c r="F934">
        <v>20692</v>
      </c>
      <c r="G934">
        <v>17</v>
      </c>
      <c r="H934">
        <v>1</v>
      </c>
      <c r="I934" t="s">
        <v>7</v>
      </c>
      <c r="J934" t="str">
        <f t="shared" si="14"/>
        <v>Senior</v>
      </c>
    </row>
    <row r="935" spans="1:10" ht="15.75" customHeight="1" x14ac:dyDescent="0.25">
      <c r="A935">
        <v>1934</v>
      </c>
      <c r="B935">
        <v>49</v>
      </c>
      <c r="C935" t="s">
        <v>10</v>
      </c>
      <c r="D935" t="s">
        <v>11</v>
      </c>
      <c r="E935" t="s">
        <v>14</v>
      </c>
      <c r="F935">
        <v>71030</v>
      </c>
      <c r="G935">
        <v>6</v>
      </c>
      <c r="H935">
        <v>2</v>
      </c>
      <c r="I935" t="s">
        <v>7</v>
      </c>
      <c r="J935" t="str">
        <f t="shared" si="14"/>
        <v>Mid-Level</v>
      </c>
    </row>
    <row r="936" spans="1:10" ht="15.75" customHeight="1" x14ac:dyDescent="0.25">
      <c r="A936">
        <v>1935</v>
      </c>
      <c r="B936">
        <v>29</v>
      </c>
      <c r="C936" t="s">
        <v>10</v>
      </c>
      <c r="D936" t="s">
        <v>8</v>
      </c>
      <c r="E936" t="s">
        <v>13</v>
      </c>
      <c r="F936">
        <v>37279</v>
      </c>
      <c r="G936">
        <v>10</v>
      </c>
      <c r="H936">
        <v>3</v>
      </c>
      <c r="I936" t="s">
        <v>7</v>
      </c>
      <c r="J936" t="str">
        <f t="shared" si="14"/>
        <v>Senior</v>
      </c>
    </row>
    <row r="937" spans="1:10" ht="15.75" customHeight="1" x14ac:dyDescent="0.25">
      <c r="A937">
        <v>1936</v>
      </c>
      <c r="B937">
        <v>54</v>
      </c>
      <c r="C937" t="s">
        <v>4</v>
      </c>
      <c r="D937" t="s">
        <v>18</v>
      </c>
      <c r="E937" t="s">
        <v>23</v>
      </c>
      <c r="F937">
        <v>69570</v>
      </c>
      <c r="G937">
        <v>20</v>
      </c>
      <c r="H937">
        <v>4</v>
      </c>
      <c r="I937" t="s">
        <v>15</v>
      </c>
      <c r="J937" t="str">
        <f t="shared" si="14"/>
        <v>Senior</v>
      </c>
    </row>
    <row r="938" spans="1:10" ht="15.75" customHeight="1" x14ac:dyDescent="0.25">
      <c r="A938">
        <v>1937</v>
      </c>
      <c r="B938">
        <v>48</v>
      </c>
      <c r="C938" t="s">
        <v>10</v>
      </c>
      <c r="D938" t="s">
        <v>16</v>
      </c>
      <c r="E938" t="s">
        <v>17</v>
      </c>
      <c r="F938">
        <v>45298</v>
      </c>
      <c r="G938">
        <v>4</v>
      </c>
      <c r="H938">
        <v>4</v>
      </c>
      <c r="I938" t="s">
        <v>7</v>
      </c>
      <c r="J938" t="str">
        <f t="shared" si="14"/>
        <v>Mid-Level</v>
      </c>
    </row>
    <row r="939" spans="1:10" ht="15.75" customHeight="1" x14ac:dyDescent="0.25">
      <c r="A939">
        <v>1938</v>
      </c>
      <c r="B939">
        <v>57</v>
      </c>
      <c r="C939" t="s">
        <v>10</v>
      </c>
      <c r="D939" t="s">
        <v>18</v>
      </c>
      <c r="E939" t="s">
        <v>19</v>
      </c>
      <c r="F939">
        <v>51577</v>
      </c>
      <c r="G939">
        <v>2</v>
      </c>
      <c r="H939">
        <v>1</v>
      </c>
      <c r="I939" t="s">
        <v>15</v>
      </c>
      <c r="J939" t="str">
        <f t="shared" si="14"/>
        <v>Junior</v>
      </c>
    </row>
    <row r="940" spans="1:10" ht="15.75" customHeight="1" x14ac:dyDescent="0.25">
      <c r="A940">
        <v>1939</v>
      </c>
      <c r="B940">
        <v>41</v>
      </c>
      <c r="C940" t="s">
        <v>10</v>
      </c>
      <c r="D940" t="s">
        <v>11</v>
      </c>
      <c r="E940" t="s">
        <v>12</v>
      </c>
      <c r="F940">
        <v>60535</v>
      </c>
      <c r="G940">
        <v>11</v>
      </c>
      <c r="H940">
        <v>1</v>
      </c>
      <c r="I940" t="s">
        <v>7</v>
      </c>
      <c r="J940" t="str">
        <f t="shared" si="14"/>
        <v>Senior</v>
      </c>
    </row>
    <row r="941" spans="1:10" ht="15.75" customHeight="1" x14ac:dyDescent="0.25">
      <c r="A941">
        <v>1940</v>
      </c>
      <c r="B941">
        <v>56</v>
      </c>
      <c r="C941" t="s">
        <v>4</v>
      </c>
      <c r="D941" t="s">
        <v>8</v>
      </c>
      <c r="E941" t="s">
        <v>9</v>
      </c>
      <c r="F941">
        <v>56117</v>
      </c>
      <c r="G941">
        <v>17</v>
      </c>
      <c r="H941">
        <v>1</v>
      </c>
      <c r="I941" t="s">
        <v>7</v>
      </c>
      <c r="J941" t="str">
        <f t="shared" si="14"/>
        <v>Senior</v>
      </c>
    </row>
    <row r="942" spans="1:10" ht="15.75" customHeight="1" x14ac:dyDescent="0.25">
      <c r="A942">
        <v>1941</v>
      </c>
      <c r="B942">
        <v>38</v>
      </c>
      <c r="C942" t="s">
        <v>10</v>
      </c>
      <c r="D942" t="s">
        <v>16</v>
      </c>
      <c r="E942" t="s">
        <v>17</v>
      </c>
      <c r="F942">
        <v>21651</v>
      </c>
      <c r="G942">
        <v>13</v>
      </c>
      <c r="H942">
        <v>2</v>
      </c>
      <c r="I942" t="s">
        <v>7</v>
      </c>
      <c r="J942" t="str">
        <f t="shared" si="14"/>
        <v>Senior</v>
      </c>
    </row>
    <row r="943" spans="1:10" ht="15.75" customHeight="1" x14ac:dyDescent="0.25">
      <c r="A943">
        <v>1942</v>
      </c>
      <c r="B943">
        <v>25</v>
      </c>
      <c r="C943" t="s">
        <v>4</v>
      </c>
      <c r="D943" t="s">
        <v>11</v>
      </c>
      <c r="E943" t="s">
        <v>14</v>
      </c>
      <c r="F943">
        <v>81383</v>
      </c>
      <c r="G943">
        <v>14</v>
      </c>
      <c r="H943">
        <v>4</v>
      </c>
      <c r="I943" t="s">
        <v>7</v>
      </c>
      <c r="J943" t="str">
        <f t="shared" si="14"/>
        <v>Senior</v>
      </c>
    </row>
    <row r="944" spans="1:10" ht="15.75" customHeight="1" x14ac:dyDescent="0.25">
      <c r="A944">
        <v>1943</v>
      </c>
      <c r="B944">
        <v>57</v>
      </c>
      <c r="C944" t="s">
        <v>10</v>
      </c>
      <c r="D944" t="s">
        <v>18</v>
      </c>
      <c r="E944" t="s">
        <v>19</v>
      </c>
      <c r="F944">
        <v>113810</v>
      </c>
      <c r="G944">
        <v>6</v>
      </c>
      <c r="H944">
        <v>3</v>
      </c>
      <c r="I944" t="s">
        <v>7</v>
      </c>
      <c r="J944" t="str">
        <f t="shared" si="14"/>
        <v>Mid-Level</v>
      </c>
    </row>
    <row r="945" spans="1:10" ht="15.75" customHeight="1" x14ac:dyDescent="0.25">
      <c r="A945">
        <v>1944</v>
      </c>
      <c r="B945">
        <v>32</v>
      </c>
      <c r="C945" t="s">
        <v>4</v>
      </c>
      <c r="D945" t="s">
        <v>16</v>
      </c>
      <c r="E945" t="s">
        <v>17</v>
      </c>
      <c r="F945">
        <v>46397</v>
      </c>
      <c r="G945">
        <v>9</v>
      </c>
      <c r="H945">
        <v>4</v>
      </c>
      <c r="I945" t="s">
        <v>7</v>
      </c>
      <c r="J945" t="str">
        <f t="shared" si="14"/>
        <v>Senior</v>
      </c>
    </row>
    <row r="946" spans="1:10" ht="15.75" customHeight="1" x14ac:dyDescent="0.25">
      <c r="A946">
        <v>1945</v>
      </c>
      <c r="B946">
        <v>46</v>
      </c>
      <c r="C946" t="s">
        <v>4</v>
      </c>
      <c r="D946" t="s">
        <v>11</v>
      </c>
      <c r="E946" t="s">
        <v>12</v>
      </c>
      <c r="F946">
        <v>58654</v>
      </c>
      <c r="G946">
        <v>8</v>
      </c>
      <c r="H946">
        <v>5</v>
      </c>
      <c r="I946" t="s">
        <v>7</v>
      </c>
      <c r="J946" t="str">
        <f t="shared" si="14"/>
        <v>Senior</v>
      </c>
    </row>
    <row r="947" spans="1:10" ht="15.75" customHeight="1" x14ac:dyDescent="0.25">
      <c r="A947">
        <v>1946</v>
      </c>
      <c r="B947">
        <v>45</v>
      </c>
      <c r="C947" t="s">
        <v>4</v>
      </c>
      <c r="D947" t="s">
        <v>21</v>
      </c>
      <c r="E947" t="s">
        <v>22</v>
      </c>
      <c r="F947">
        <v>64187</v>
      </c>
      <c r="G947">
        <v>17</v>
      </c>
      <c r="H947">
        <v>2</v>
      </c>
      <c r="I947" t="s">
        <v>7</v>
      </c>
      <c r="J947" t="str">
        <f t="shared" si="14"/>
        <v>Senior</v>
      </c>
    </row>
    <row r="948" spans="1:10" ht="15.75" customHeight="1" x14ac:dyDescent="0.25">
      <c r="A948">
        <v>1947</v>
      </c>
      <c r="B948">
        <v>49</v>
      </c>
      <c r="C948" t="s">
        <v>10</v>
      </c>
      <c r="D948" t="s">
        <v>18</v>
      </c>
      <c r="E948" t="s">
        <v>19</v>
      </c>
      <c r="F948">
        <v>26523</v>
      </c>
      <c r="G948">
        <v>5</v>
      </c>
      <c r="H948">
        <v>2</v>
      </c>
      <c r="I948" t="s">
        <v>7</v>
      </c>
      <c r="J948" t="str">
        <f t="shared" si="14"/>
        <v>Mid-Level</v>
      </c>
    </row>
    <row r="949" spans="1:10" ht="15.75" customHeight="1" x14ac:dyDescent="0.25">
      <c r="A949">
        <v>1948</v>
      </c>
      <c r="B949">
        <v>56</v>
      </c>
      <c r="C949" t="s">
        <v>10</v>
      </c>
      <c r="D949" t="s">
        <v>16</v>
      </c>
      <c r="E949" t="s">
        <v>17</v>
      </c>
      <c r="F949">
        <v>57537</v>
      </c>
      <c r="G949">
        <v>16</v>
      </c>
      <c r="H949">
        <v>3</v>
      </c>
      <c r="I949" t="s">
        <v>7</v>
      </c>
      <c r="J949" t="str">
        <f t="shared" si="14"/>
        <v>Senior</v>
      </c>
    </row>
    <row r="950" spans="1:10" ht="15.75" customHeight="1" x14ac:dyDescent="0.25">
      <c r="A950">
        <v>1949</v>
      </c>
      <c r="B950">
        <v>49</v>
      </c>
      <c r="C950" t="s">
        <v>4</v>
      </c>
      <c r="D950" t="s">
        <v>5</v>
      </c>
      <c r="E950" t="s">
        <v>6</v>
      </c>
      <c r="F950">
        <v>34397</v>
      </c>
      <c r="G950">
        <v>13</v>
      </c>
      <c r="H950">
        <v>4</v>
      </c>
      <c r="I950" t="s">
        <v>7</v>
      </c>
      <c r="J950" t="str">
        <f t="shared" si="14"/>
        <v>Senior</v>
      </c>
    </row>
    <row r="951" spans="1:10" ht="15.75" customHeight="1" x14ac:dyDescent="0.25">
      <c r="A951">
        <v>1950</v>
      </c>
      <c r="B951">
        <v>32</v>
      </c>
      <c r="C951" t="s">
        <v>4</v>
      </c>
      <c r="D951" t="s">
        <v>21</v>
      </c>
      <c r="E951" t="s">
        <v>24</v>
      </c>
      <c r="F951">
        <v>84077</v>
      </c>
      <c r="G951">
        <v>1</v>
      </c>
      <c r="H951">
        <v>1</v>
      </c>
      <c r="I951" t="s">
        <v>15</v>
      </c>
      <c r="J951" t="str">
        <f t="shared" si="14"/>
        <v>Junior</v>
      </c>
    </row>
    <row r="952" spans="1:10" ht="15.75" customHeight="1" x14ac:dyDescent="0.25">
      <c r="A952">
        <v>1951</v>
      </c>
      <c r="B952">
        <v>26</v>
      </c>
      <c r="C952" t="s">
        <v>4</v>
      </c>
      <c r="D952" t="s">
        <v>8</v>
      </c>
      <c r="E952" t="s">
        <v>13</v>
      </c>
      <c r="F952">
        <v>67650</v>
      </c>
      <c r="G952">
        <v>0</v>
      </c>
      <c r="H952">
        <v>4</v>
      </c>
      <c r="I952" t="s">
        <v>7</v>
      </c>
      <c r="J952" t="str">
        <f t="shared" si="14"/>
        <v>Junior</v>
      </c>
    </row>
    <row r="953" spans="1:10" ht="15.75" customHeight="1" x14ac:dyDescent="0.25">
      <c r="A953">
        <v>1952</v>
      </c>
      <c r="B953">
        <v>39</v>
      </c>
      <c r="C953" t="s">
        <v>10</v>
      </c>
      <c r="D953" t="s">
        <v>8</v>
      </c>
      <c r="E953" t="s">
        <v>9</v>
      </c>
      <c r="F953">
        <v>102453</v>
      </c>
      <c r="G953">
        <v>0</v>
      </c>
      <c r="H953">
        <v>5</v>
      </c>
      <c r="I953" t="s">
        <v>15</v>
      </c>
      <c r="J953" t="str">
        <f t="shared" si="14"/>
        <v>Junior</v>
      </c>
    </row>
    <row r="954" spans="1:10" ht="15.75" customHeight="1" x14ac:dyDescent="0.25">
      <c r="A954">
        <v>1953</v>
      </c>
      <c r="B954">
        <v>46</v>
      </c>
      <c r="C954" t="s">
        <v>10</v>
      </c>
      <c r="D954" t="s">
        <v>8</v>
      </c>
      <c r="E954" t="s">
        <v>9</v>
      </c>
      <c r="F954">
        <v>115947</v>
      </c>
      <c r="G954">
        <v>13</v>
      </c>
      <c r="H954">
        <v>4</v>
      </c>
      <c r="I954" t="s">
        <v>15</v>
      </c>
      <c r="J954" t="str">
        <f t="shared" si="14"/>
        <v>Senior</v>
      </c>
    </row>
    <row r="955" spans="1:10" ht="15.75" customHeight="1" x14ac:dyDescent="0.25">
      <c r="A955">
        <v>1954</v>
      </c>
      <c r="B955">
        <v>46</v>
      </c>
      <c r="C955" t="s">
        <v>10</v>
      </c>
      <c r="D955" t="s">
        <v>16</v>
      </c>
      <c r="E955" t="s">
        <v>17</v>
      </c>
      <c r="F955">
        <v>57009</v>
      </c>
      <c r="G955">
        <v>6</v>
      </c>
      <c r="H955">
        <v>1</v>
      </c>
      <c r="I955" t="s">
        <v>7</v>
      </c>
      <c r="J955" t="str">
        <f t="shared" si="14"/>
        <v>Mid-Level</v>
      </c>
    </row>
    <row r="956" spans="1:10" ht="15.75" customHeight="1" x14ac:dyDescent="0.25">
      <c r="A956">
        <v>1955</v>
      </c>
      <c r="B956">
        <v>56</v>
      </c>
      <c r="C956" t="s">
        <v>4</v>
      </c>
      <c r="D956" t="s">
        <v>5</v>
      </c>
      <c r="E956" t="s">
        <v>20</v>
      </c>
      <c r="F956">
        <v>107981</v>
      </c>
      <c r="G956">
        <v>8</v>
      </c>
      <c r="H956">
        <v>4</v>
      </c>
      <c r="I956" t="s">
        <v>7</v>
      </c>
      <c r="J956" t="str">
        <f t="shared" si="14"/>
        <v>Senior</v>
      </c>
    </row>
    <row r="957" spans="1:10" ht="15.75" customHeight="1" x14ac:dyDescent="0.25">
      <c r="A957">
        <v>1956</v>
      </c>
      <c r="B957">
        <v>28</v>
      </c>
      <c r="C957" t="s">
        <v>10</v>
      </c>
      <c r="D957" t="s">
        <v>21</v>
      </c>
      <c r="E957" t="s">
        <v>22</v>
      </c>
      <c r="F957">
        <v>68958</v>
      </c>
      <c r="G957">
        <v>7</v>
      </c>
      <c r="H957">
        <v>2</v>
      </c>
      <c r="I957" t="s">
        <v>7</v>
      </c>
      <c r="J957" t="str">
        <f t="shared" si="14"/>
        <v>Senior</v>
      </c>
    </row>
    <row r="958" spans="1:10" ht="15.75" customHeight="1" x14ac:dyDescent="0.25">
      <c r="A958">
        <v>1957</v>
      </c>
      <c r="B958">
        <v>29</v>
      </c>
      <c r="C958" t="s">
        <v>4</v>
      </c>
      <c r="D958" t="s">
        <v>18</v>
      </c>
      <c r="E958" t="s">
        <v>23</v>
      </c>
      <c r="F958">
        <v>23108</v>
      </c>
      <c r="G958">
        <v>15</v>
      </c>
      <c r="H958">
        <v>1</v>
      </c>
      <c r="I958" t="s">
        <v>7</v>
      </c>
      <c r="J958" t="str">
        <f t="shared" si="14"/>
        <v>Senior</v>
      </c>
    </row>
    <row r="959" spans="1:10" ht="15.75" customHeight="1" x14ac:dyDescent="0.25">
      <c r="A959">
        <v>1958</v>
      </c>
      <c r="B959">
        <v>53</v>
      </c>
      <c r="C959" t="s">
        <v>10</v>
      </c>
      <c r="D959" t="s">
        <v>16</v>
      </c>
      <c r="E959" t="s">
        <v>17</v>
      </c>
      <c r="F959">
        <v>100749</v>
      </c>
      <c r="G959">
        <v>0</v>
      </c>
      <c r="H959">
        <v>5</v>
      </c>
      <c r="I959" t="s">
        <v>7</v>
      </c>
      <c r="J959" t="str">
        <f t="shared" si="14"/>
        <v>Junior</v>
      </c>
    </row>
    <row r="960" spans="1:10" ht="15.75" customHeight="1" x14ac:dyDescent="0.25">
      <c r="A960">
        <v>1959</v>
      </c>
      <c r="B960">
        <v>43</v>
      </c>
      <c r="C960" t="s">
        <v>10</v>
      </c>
      <c r="D960" t="s">
        <v>18</v>
      </c>
      <c r="E960" t="s">
        <v>19</v>
      </c>
      <c r="F960">
        <v>93361</v>
      </c>
      <c r="G960">
        <v>4</v>
      </c>
      <c r="H960">
        <v>3</v>
      </c>
      <c r="I960" t="s">
        <v>7</v>
      </c>
      <c r="J960" t="str">
        <f t="shared" si="14"/>
        <v>Mid-Level</v>
      </c>
    </row>
    <row r="961" spans="1:10" ht="15.75" customHeight="1" x14ac:dyDescent="0.25">
      <c r="A961">
        <v>1960</v>
      </c>
      <c r="B961">
        <v>53</v>
      </c>
      <c r="C961" t="s">
        <v>10</v>
      </c>
      <c r="D961" t="s">
        <v>8</v>
      </c>
      <c r="E961" t="s">
        <v>13</v>
      </c>
      <c r="F961">
        <v>106056</v>
      </c>
      <c r="G961">
        <v>13</v>
      </c>
      <c r="H961">
        <v>1</v>
      </c>
      <c r="I961" t="s">
        <v>15</v>
      </c>
      <c r="J961" t="str">
        <f t="shared" si="14"/>
        <v>Senior</v>
      </c>
    </row>
    <row r="962" spans="1:10" ht="15.75" customHeight="1" x14ac:dyDescent="0.25">
      <c r="A962">
        <v>1961</v>
      </c>
      <c r="B962">
        <v>49</v>
      </c>
      <c r="C962" t="s">
        <v>4</v>
      </c>
      <c r="D962" t="s">
        <v>5</v>
      </c>
      <c r="E962" t="s">
        <v>6</v>
      </c>
      <c r="F962">
        <v>36624</v>
      </c>
      <c r="G962">
        <v>12</v>
      </c>
      <c r="H962">
        <v>3</v>
      </c>
      <c r="I962" t="s">
        <v>7</v>
      </c>
      <c r="J962" t="str">
        <f t="shared" ref="J962:J1001" si="15">IF(G962&lt;3,"Junior",IF(G962&lt;7,"Mid-Level","Senior"))</f>
        <v>Senior</v>
      </c>
    </row>
    <row r="963" spans="1:10" ht="15.75" customHeight="1" x14ac:dyDescent="0.25">
      <c r="A963">
        <v>1962</v>
      </c>
      <c r="B963">
        <v>40</v>
      </c>
      <c r="C963" t="s">
        <v>4</v>
      </c>
      <c r="D963" t="s">
        <v>5</v>
      </c>
      <c r="E963" t="s">
        <v>26</v>
      </c>
      <c r="F963">
        <v>28719</v>
      </c>
      <c r="G963">
        <v>2</v>
      </c>
      <c r="H963">
        <v>4</v>
      </c>
      <c r="I963" t="s">
        <v>7</v>
      </c>
      <c r="J963" t="str">
        <f t="shared" si="15"/>
        <v>Junior</v>
      </c>
    </row>
    <row r="964" spans="1:10" ht="15.75" customHeight="1" x14ac:dyDescent="0.25">
      <c r="A964">
        <v>1963</v>
      </c>
      <c r="B964">
        <v>31</v>
      </c>
      <c r="C964" t="s">
        <v>10</v>
      </c>
      <c r="D964" t="s">
        <v>8</v>
      </c>
      <c r="E964" t="s">
        <v>13</v>
      </c>
      <c r="F964">
        <v>25672</v>
      </c>
      <c r="G964">
        <v>1</v>
      </c>
      <c r="H964">
        <v>5</v>
      </c>
      <c r="I964" t="s">
        <v>7</v>
      </c>
      <c r="J964" t="str">
        <f t="shared" si="15"/>
        <v>Junior</v>
      </c>
    </row>
    <row r="965" spans="1:10" ht="15.75" customHeight="1" x14ac:dyDescent="0.25">
      <c r="A965">
        <v>1964</v>
      </c>
      <c r="B965">
        <v>25</v>
      </c>
      <c r="C965" t="s">
        <v>4</v>
      </c>
      <c r="D965" t="s">
        <v>18</v>
      </c>
      <c r="E965" t="s">
        <v>19</v>
      </c>
      <c r="F965">
        <v>116820</v>
      </c>
      <c r="G965">
        <v>17</v>
      </c>
      <c r="H965">
        <v>5</v>
      </c>
      <c r="I965" t="s">
        <v>7</v>
      </c>
      <c r="J965" t="str">
        <f t="shared" si="15"/>
        <v>Senior</v>
      </c>
    </row>
    <row r="966" spans="1:10" ht="15.75" customHeight="1" x14ac:dyDescent="0.25">
      <c r="A966">
        <v>1965</v>
      </c>
      <c r="B966">
        <v>32</v>
      </c>
      <c r="C966" t="s">
        <v>10</v>
      </c>
      <c r="D966" t="s">
        <v>8</v>
      </c>
      <c r="E966" t="s">
        <v>13</v>
      </c>
      <c r="F966">
        <v>36000</v>
      </c>
      <c r="G966">
        <v>2</v>
      </c>
      <c r="H966">
        <v>4</v>
      </c>
      <c r="I966" t="s">
        <v>7</v>
      </c>
      <c r="J966" t="str">
        <f t="shared" si="15"/>
        <v>Junior</v>
      </c>
    </row>
    <row r="967" spans="1:10" ht="15.75" customHeight="1" x14ac:dyDescent="0.25">
      <c r="A967">
        <v>1966</v>
      </c>
      <c r="B967">
        <v>43</v>
      </c>
      <c r="C967" t="s">
        <v>4</v>
      </c>
      <c r="D967" t="s">
        <v>11</v>
      </c>
      <c r="E967" t="s">
        <v>12</v>
      </c>
      <c r="F967">
        <v>41587</v>
      </c>
      <c r="G967">
        <v>11</v>
      </c>
      <c r="H967">
        <v>1</v>
      </c>
      <c r="I967" t="s">
        <v>7</v>
      </c>
      <c r="J967" t="str">
        <f t="shared" si="15"/>
        <v>Senior</v>
      </c>
    </row>
    <row r="968" spans="1:10" ht="15.75" customHeight="1" x14ac:dyDescent="0.25">
      <c r="A968">
        <v>1967</v>
      </c>
      <c r="B968">
        <v>23</v>
      </c>
      <c r="C968" t="s">
        <v>10</v>
      </c>
      <c r="D968" t="s">
        <v>16</v>
      </c>
      <c r="E968" t="s">
        <v>17</v>
      </c>
      <c r="F968">
        <v>72698</v>
      </c>
      <c r="G968">
        <v>10</v>
      </c>
      <c r="H968">
        <v>5</v>
      </c>
      <c r="I968" t="s">
        <v>15</v>
      </c>
      <c r="J968" t="str">
        <f t="shared" si="15"/>
        <v>Senior</v>
      </c>
    </row>
    <row r="969" spans="1:10" ht="15.75" customHeight="1" x14ac:dyDescent="0.25">
      <c r="A969">
        <v>1968</v>
      </c>
      <c r="B969">
        <v>22</v>
      </c>
      <c r="C969" t="s">
        <v>4</v>
      </c>
      <c r="D969" t="s">
        <v>8</v>
      </c>
      <c r="E969" t="s">
        <v>13</v>
      </c>
      <c r="F969">
        <v>110011</v>
      </c>
      <c r="G969">
        <v>17</v>
      </c>
      <c r="H969">
        <v>3</v>
      </c>
      <c r="I969" t="s">
        <v>7</v>
      </c>
      <c r="J969" t="str">
        <f t="shared" si="15"/>
        <v>Senior</v>
      </c>
    </row>
    <row r="970" spans="1:10" ht="15.75" customHeight="1" x14ac:dyDescent="0.25">
      <c r="A970">
        <v>1969</v>
      </c>
      <c r="B970">
        <v>48</v>
      </c>
      <c r="C970" t="s">
        <v>4</v>
      </c>
      <c r="D970" t="s">
        <v>16</v>
      </c>
      <c r="E970" t="s">
        <v>25</v>
      </c>
      <c r="F970">
        <v>69615</v>
      </c>
      <c r="G970">
        <v>12</v>
      </c>
      <c r="H970">
        <v>2</v>
      </c>
      <c r="I970" t="s">
        <v>15</v>
      </c>
      <c r="J970" t="str">
        <f t="shared" si="15"/>
        <v>Senior</v>
      </c>
    </row>
    <row r="971" spans="1:10" ht="15.75" customHeight="1" x14ac:dyDescent="0.25">
      <c r="A971">
        <v>1970</v>
      </c>
      <c r="B971">
        <v>28</v>
      </c>
      <c r="C971" t="s">
        <v>4</v>
      </c>
      <c r="D971" t="s">
        <v>8</v>
      </c>
      <c r="E971" t="s">
        <v>13</v>
      </c>
      <c r="F971">
        <v>83801</v>
      </c>
      <c r="G971">
        <v>18</v>
      </c>
      <c r="H971">
        <v>2</v>
      </c>
      <c r="I971" t="s">
        <v>7</v>
      </c>
      <c r="J971" t="str">
        <f t="shared" si="15"/>
        <v>Senior</v>
      </c>
    </row>
    <row r="972" spans="1:10" ht="15.75" customHeight="1" x14ac:dyDescent="0.25">
      <c r="A972">
        <v>1971</v>
      </c>
      <c r="B972">
        <v>23</v>
      </c>
      <c r="C972" t="s">
        <v>10</v>
      </c>
      <c r="D972" t="s">
        <v>16</v>
      </c>
      <c r="E972" t="s">
        <v>17</v>
      </c>
      <c r="F972">
        <v>83564</v>
      </c>
      <c r="G972">
        <v>19</v>
      </c>
      <c r="H972">
        <v>1</v>
      </c>
      <c r="I972" t="s">
        <v>7</v>
      </c>
      <c r="J972" t="str">
        <f t="shared" si="15"/>
        <v>Senior</v>
      </c>
    </row>
    <row r="973" spans="1:10" ht="15.75" customHeight="1" x14ac:dyDescent="0.25">
      <c r="A973">
        <v>1972</v>
      </c>
      <c r="B973">
        <v>56</v>
      </c>
      <c r="C973" t="s">
        <v>10</v>
      </c>
      <c r="D973" t="s">
        <v>8</v>
      </c>
      <c r="E973" t="s">
        <v>9</v>
      </c>
      <c r="F973">
        <v>53657</v>
      </c>
      <c r="G973">
        <v>19</v>
      </c>
      <c r="H973">
        <v>3</v>
      </c>
      <c r="I973" t="s">
        <v>15</v>
      </c>
      <c r="J973" t="str">
        <f t="shared" si="15"/>
        <v>Senior</v>
      </c>
    </row>
    <row r="974" spans="1:10" ht="15.75" customHeight="1" x14ac:dyDescent="0.25">
      <c r="A974">
        <v>1973</v>
      </c>
      <c r="B974">
        <v>38</v>
      </c>
      <c r="C974" t="s">
        <v>10</v>
      </c>
      <c r="D974" t="s">
        <v>18</v>
      </c>
      <c r="E974" t="s">
        <v>19</v>
      </c>
      <c r="F974">
        <v>82221</v>
      </c>
      <c r="G974">
        <v>16</v>
      </c>
      <c r="H974">
        <v>5</v>
      </c>
      <c r="I974" t="s">
        <v>15</v>
      </c>
      <c r="J974" t="str">
        <f t="shared" si="15"/>
        <v>Senior</v>
      </c>
    </row>
    <row r="975" spans="1:10" ht="15.75" customHeight="1" x14ac:dyDescent="0.25">
      <c r="A975">
        <v>1974</v>
      </c>
      <c r="B975">
        <v>45</v>
      </c>
      <c r="C975" t="s">
        <v>10</v>
      </c>
      <c r="D975" t="s">
        <v>5</v>
      </c>
      <c r="E975" t="s">
        <v>6</v>
      </c>
      <c r="F975">
        <v>65135</v>
      </c>
      <c r="G975">
        <v>12</v>
      </c>
      <c r="H975">
        <v>2</v>
      </c>
      <c r="I975" t="s">
        <v>15</v>
      </c>
      <c r="J975" t="str">
        <f t="shared" si="15"/>
        <v>Senior</v>
      </c>
    </row>
    <row r="976" spans="1:10" ht="15.75" customHeight="1" x14ac:dyDescent="0.25">
      <c r="A976">
        <v>1975</v>
      </c>
      <c r="B976">
        <v>40</v>
      </c>
      <c r="C976" t="s">
        <v>4</v>
      </c>
      <c r="D976" t="s">
        <v>5</v>
      </c>
      <c r="E976" t="s">
        <v>6</v>
      </c>
      <c r="F976">
        <v>117975</v>
      </c>
      <c r="G976">
        <v>15</v>
      </c>
      <c r="H976">
        <v>4</v>
      </c>
      <c r="I976" t="s">
        <v>7</v>
      </c>
      <c r="J976" t="str">
        <f t="shared" si="15"/>
        <v>Senior</v>
      </c>
    </row>
    <row r="977" spans="1:10" ht="15.75" customHeight="1" x14ac:dyDescent="0.25">
      <c r="A977">
        <v>1976</v>
      </c>
      <c r="B977">
        <v>28</v>
      </c>
      <c r="C977" t="s">
        <v>4</v>
      </c>
      <c r="D977" t="s">
        <v>18</v>
      </c>
      <c r="E977" t="s">
        <v>23</v>
      </c>
      <c r="F977">
        <v>92112</v>
      </c>
      <c r="G977">
        <v>13</v>
      </c>
      <c r="H977">
        <v>3</v>
      </c>
      <c r="I977" t="s">
        <v>7</v>
      </c>
      <c r="J977" t="str">
        <f t="shared" si="15"/>
        <v>Senior</v>
      </c>
    </row>
    <row r="978" spans="1:10" ht="15.75" customHeight="1" x14ac:dyDescent="0.25">
      <c r="A978">
        <v>1977</v>
      </c>
      <c r="B978">
        <v>34</v>
      </c>
      <c r="C978" t="s">
        <v>4</v>
      </c>
      <c r="D978" t="s">
        <v>11</v>
      </c>
      <c r="E978" t="s">
        <v>12</v>
      </c>
      <c r="F978">
        <v>30609</v>
      </c>
      <c r="G978">
        <v>5</v>
      </c>
      <c r="H978">
        <v>5</v>
      </c>
      <c r="I978" t="s">
        <v>7</v>
      </c>
      <c r="J978" t="str">
        <f t="shared" si="15"/>
        <v>Mid-Level</v>
      </c>
    </row>
    <row r="979" spans="1:10" ht="15.75" customHeight="1" x14ac:dyDescent="0.25">
      <c r="A979">
        <v>1978</v>
      </c>
      <c r="B979">
        <v>38</v>
      </c>
      <c r="C979" t="s">
        <v>10</v>
      </c>
      <c r="D979" t="s">
        <v>8</v>
      </c>
      <c r="E979" t="s">
        <v>9</v>
      </c>
      <c r="F979">
        <v>106635</v>
      </c>
      <c r="G979">
        <v>9</v>
      </c>
      <c r="H979">
        <v>2</v>
      </c>
      <c r="I979" t="s">
        <v>7</v>
      </c>
      <c r="J979" t="str">
        <f t="shared" si="15"/>
        <v>Senior</v>
      </c>
    </row>
    <row r="980" spans="1:10" ht="15.75" customHeight="1" x14ac:dyDescent="0.25">
      <c r="A980">
        <v>1979</v>
      </c>
      <c r="B980">
        <v>58</v>
      </c>
      <c r="C980" t="s">
        <v>10</v>
      </c>
      <c r="D980" t="s">
        <v>16</v>
      </c>
      <c r="E980" t="s">
        <v>25</v>
      </c>
      <c r="F980">
        <v>107842</v>
      </c>
      <c r="G980">
        <v>4</v>
      </c>
      <c r="H980">
        <v>2</v>
      </c>
      <c r="I980" t="s">
        <v>7</v>
      </c>
      <c r="J980" t="str">
        <f t="shared" si="15"/>
        <v>Mid-Level</v>
      </c>
    </row>
    <row r="981" spans="1:10" ht="15.75" customHeight="1" x14ac:dyDescent="0.25">
      <c r="A981">
        <v>1980</v>
      </c>
      <c r="B981">
        <v>34</v>
      </c>
      <c r="C981" t="s">
        <v>10</v>
      </c>
      <c r="D981" t="s">
        <v>5</v>
      </c>
      <c r="E981" t="s">
        <v>6</v>
      </c>
      <c r="F981">
        <v>117222</v>
      </c>
      <c r="G981">
        <v>5</v>
      </c>
      <c r="H981">
        <v>5</v>
      </c>
      <c r="I981" t="s">
        <v>15</v>
      </c>
      <c r="J981" t="str">
        <f t="shared" si="15"/>
        <v>Mid-Level</v>
      </c>
    </row>
    <row r="982" spans="1:10" ht="15.75" customHeight="1" x14ac:dyDescent="0.25">
      <c r="A982">
        <v>1981</v>
      </c>
      <c r="B982">
        <v>42</v>
      </c>
      <c r="C982" t="s">
        <v>4</v>
      </c>
      <c r="D982" t="s">
        <v>5</v>
      </c>
      <c r="E982" t="s">
        <v>6</v>
      </c>
      <c r="F982">
        <v>91771</v>
      </c>
      <c r="G982">
        <v>15</v>
      </c>
      <c r="H982">
        <v>4</v>
      </c>
      <c r="I982" t="s">
        <v>15</v>
      </c>
      <c r="J982" t="str">
        <f t="shared" si="15"/>
        <v>Senior</v>
      </c>
    </row>
    <row r="983" spans="1:10" ht="15.75" customHeight="1" x14ac:dyDescent="0.25">
      <c r="A983">
        <v>1982</v>
      </c>
      <c r="B983">
        <v>48</v>
      </c>
      <c r="C983" t="s">
        <v>10</v>
      </c>
      <c r="D983" t="s">
        <v>5</v>
      </c>
      <c r="E983" t="s">
        <v>26</v>
      </c>
      <c r="F983">
        <v>46843</v>
      </c>
      <c r="G983">
        <v>17</v>
      </c>
      <c r="H983">
        <v>3</v>
      </c>
      <c r="I983" t="s">
        <v>7</v>
      </c>
      <c r="J983" t="str">
        <f t="shared" si="15"/>
        <v>Senior</v>
      </c>
    </row>
    <row r="984" spans="1:10" ht="15.75" customHeight="1" x14ac:dyDescent="0.25">
      <c r="A984">
        <v>1983</v>
      </c>
      <c r="B984">
        <v>29</v>
      </c>
      <c r="C984" t="s">
        <v>10</v>
      </c>
      <c r="D984" t="s">
        <v>18</v>
      </c>
      <c r="E984" t="s">
        <v>19</v>
      </c>
      <c r="F984">
        <v>105126</v>
      </c>
      <c r="G984">
        <v>12</v>
      </c>
      <c r="H984">
        <v>3</v>
      </c>
      <c r="I984" t="s">
        <v>7</v>
      </c>
      <c r="J984" t="str">
        <f t="shared" si="15"/>
        <v>Senior</v>
      </c>
    </row>
    <row r="985" spans="1:10" ht="15.75" customHeight="1" x14ac:dyDescent="0.25">
      <c r="A985">
        <v>1984</v>
      </c>
      <c r="B985">
        <v>38</v>
      </c>
      <c r="C985" t="s">
        <v>10</v>
      </c>
      <c r="D985" t="s">
        <v>18</v>
      </c>
      <c r="E985" t="s">
        <v>19</v>
      </c>
      <c r="F985">
        <v>28827</v>
      </c>
      <c r="G985">
        <v>1</v>
      </c>
      <c r="H985">
        <v>3</v>
      </c>
      <c r="I985" t="s">
        <v>7</v>
      </c>
      <c r="J985" t="str">
        <f t="shared" si="15"/>
        <v>Junior</v>
      </c>
    </row>
    <row r="986" spans="1:10" ht="15.75" customHeight="1" x14ac:dyDescent="0.25">
      <c r="A986">
        <v>1985</v>
      </c>
      <c r="B986">
        <v>32</v>
      </c>
      <c r="C986" t="s">
        <v>10</v>
      </c>
      <c r="D986" t="s">
        <v>11</v>
      </c>
      <c r="E986" t="s">
        <v>12</v>
      </c>
      <c r="F986">
        <v>62124</v>
      </c>
      <c r="G986">
        <v>4</v>
      </c>
      <c r="H986">
        <v>1</v>
      </c>
      <c r="I986" t="s">
        <v>7</v>
      </c>
      <c r="J986" t="str">
        <f t="shared" si="15"/>
        <v>Mid-Level</v>
      </c>
    </row>
    <row r="987" spans="1:10" ht="15.75" customHeight="1" x14ac:dyDescent="0.25">
      <c r="A987">
        <v>1986</v>
      </c>
      <c r="B987">
        <v>44</v>
      </c>
      <c r="C987" t="s">
        <v>10</v>
      </c>
      <c r="D987" t="s">
        <v>18</v>
      </c>
      <c r="E987" t="s">
        <v>23</v>
      </c>
      <c r="F987">
        <v>93394</v>
      </c>
      <c r="G987">
        <v>11</v>
      </c>
      <c r="H987">
        <v>5</v>
      </c>
      <c r="I987" t="s">
        <v>7</v>
      </c>
      <c r="J987" t="str">
        <f t="shared" si="15"/>
        <v>Senior</v>
      </c>
    </row>
    <row r="988" spans="1:10" ht="15.75" customHeight="1" x14ac:dyDescent="0.25">
      <c r="A988">
        <v>1987</v>
      </c>
      <c r="B988">
        <v>37</v>
      </c>
      <c r="C988" t="s">
        <v>4</v>
      </c>
      <c r="D988" t="s">
        <v>16</v>
      </c>
      <c r="E988" t="s">
        <v>17</v>
      </c>
      <c r="F988">
        <v>100401</v>
      </c>
      <c r="G988">
        <v>16</v>
      </c>
      <c r="H988">
        <v>5</v>
      </c>
      <c r="I988" t="s">
        <v>7</v>
      </c>
      <c r="J988" t="str">
        <f t="shared" si="15"/>
        <v>Senior</v>
      </c>
    </row>
    <row r="989" spans="1:10" ht="15.75" customHeight="1" x14ac:dyDescent="0.25">
      <c r="A989">
        <v>1988</v>
      </c>
      <c r="B989">
        <v>51</v>
      </c>
      <c r="C989" t="s">
        <v>4</v>
      </c>
      <c r="D989" t="s">
        <v>16</v>
      </c>
      <c r="E989" t="s">
        <v>17</v>
      </c>
      <c r="F989">
        <v>48041</v>
      </c>
      <c r="G989">
        <v>10</v>
      </c>
      <c r="H989">
        <v>1</v>
      </c>
      <c r="I989" t="s">
        <v>7</v>
      </c>
      <c r="J989" t="str">
        <f t="shared" si="15"/>
        <v>Senior</v>
      </c>
    </row>
    <row r="990" spans="1:10" ht="15.75" customHeight="1" x14ac:dyDescent="0.25">
      <c r="A990">
        <v>1989</v>
      </c>
      <c r="B990">
        <v>46</v>
      </c>
      <c r="C990" t="s">
        <v>4</v>
      </c>
      <c r="D990" t="s">
        <v>16</v>
      </c>
      <c r="E990" t="s">
        <v>25</v>
      </c>
      <c r="F990">
        <v>71902</v>
      </c>
      <c r="G990">
        <v>8</v>
      </c>
      <c r="H990">
        <v>4</v>
      </c>
      <c r="I990" t="s">
        <v>7</v>
      </c>
      <c r="J990" t="str">
        <f t="shared" si="15"/>
        <v>Senior</v>
      </c>
    </row>
    <row r="991" spans="1:10" ht="15.75" customHeight="1" x14ac:dyDescent="0.25">
      <c r="A991">
        <v>1990</v>
      </c>
      <c r="B991">
        <v>29</v>
      </c>
      <c r="C991" t="s">
        <v>4</v>
      </c>
      <c r="D991" t="s">
        <v>18</v>
      </c>
      <c r="E991" t="s">
        <v>19</v>
      </c>
      <c r="F991">
        <v>26404</v>
      </c>
      <c r="G991">
        <v>5</v>
      </c>
      <c r="H991">
        <v>1</v>
      </c>
      <c r="I991" t="s">
        <v>7</v>
      </c>
      <c r="J991" t="str">
        <f t="shared" si="15"/>
        <v>Mid-Level</v>
      </c>
    </row>
    <row r="992" spans="1:10" ht="15.75" customHeight="1" x14ac:dyDescent="0.25">
      <c r="A992">
        <v>1991</v>
      </c>
      <c r="B992">
        <v>25</v>
      </c>
      <c r="C992" t="s">
        <v>10</v>
      </c>
      <c r="D992" t="s">
        <v>5</v>
      </c>
      <c r="E992" t="s">
        <v>20</v>
      </c>
      <c r="F992">
        <v>46099</v>
      </c>
      <c r="G992">
        <v>12</v>
      </c>
      <c r="H992">
        <v>2</v>
      </c>
      <c r="I992" t="s">
        <v>7</v>
      </c>
      <c r="J992" t="str">
        <f t="shared" si="15"/>
        <v>Senior</v>
      </c>
    </row>
    <row r="993" spans="1:10" ht="15.75" customHeight="1" x14ac:dyDescent="0.25">
      <c r="A993">
        <v>1992</v>
      </c>
      <c r="B993">
        <v>22</v>
      </c>
      <c r="C993" t="s">
        <v>10</v>
      </c>
      <c r="D993" t="s">
        <v>5</v>
      </c>
      <c r="E993" t="s">
        <v>6</v>
      </c>
      <c r="F993">
        <v>81654</v>
      </c>
      <c r="G993">
        <v>15</v>
      </c>
      <c r="H993">
        <v>1</v>
      </c>
      <c r="I993" t="s">
        <v>7</v>
      </c>
      <c r="J993" t="str">
        <f t="shared" si="15"/>
        <v>Senior</v>
      </c>
    </row>
    <row r="994" spans="1:10" ht="15.75" customHeight="1" x14ac:dyDescent="0.25">
      <c r="A994">
        <v>1993</v>
      </c>
      <c r="B994">
        <v>57</v>
      </c>
      <c r="C994" t="s">
        <v>4</v>
      </c>
      <c r="D994" t="s">
        <v>21</v>
      </c>
      <c r="E994" t="s">
        <v>24</v>
      </c>
      <c r="F994">
        <v>54838</v>
      </c>
      <c r="G994">
        <v>12</v>
      </c>
      <c r="H994">
        <v>3</v>
      </c>
      <c r="I994" t="s">
        <v>7</v>
      </c>
      <c r="J994" t="str">
        <f t="shared" si="15"/>
        <v>Senior</v>
      </c>
    </row>
    <row r="995" spans="1:10" ht="15.75" customHeight="1" x14ac:dyDescent="0.25">
      <c r="A995">
        <v>1994</v>
      </c>
      <c r="B995">
        <v>57</v>
      </c>
      <c r="C995" t="s">
        <v>4</v>
      </c>
      <c r="D995" t="s">
        <v>8</v>
      </c>
      <c r="E995" t="s">
        <v>9</v>
      </c>
      <c r="F995">
        <v>24026</v>
      </c>
      <c r="G995">
        <v>4</v>
      </c>
      <c r="H995">
        <v>1</v>
      </c>
      <c r="I995" t="s">
        <v>7</v>
      </c>
      <c r="J995" t="str">
        <f t="shared" si="15"/>
        <v>Mid-Level</v>
      </c>
    </row>
    <row r="996" spans="1:10" ht="15.75" customHeight="1" x14ac:dyDescent="0.25">
      <c r="A996">
        <v>1995</v>
      </c>
      <c r="B996">
        <v>50</v>
      </c>
      <c r="C996" t="s">
        <v>4</v>
      </c>
      <c r="D996" t="s">
        <v>18</v>
      </c>
      <c r="E996" t="s">
        <v>19</v>
      </c>
      <c r="F996">
        <v>20367</v>
      </c>
      <c r="G996">
        <v>10</v>
      </c>
      <c r="H996">
        <v>1</v>
      </c>
      <c r="I996" t="s">
        <v>7</v>
      </c>
      <c r="J996" t="str">
        <f t="shared" si="15"/>
        <v>Senior</v>
      </c>
    </row>
    <row r="997" spans="1:10" ht="15.75" customHeight="1" x14ac:dyDescent="0.25">
      <c r="A997">
        <v>1996</v>
      </c>
      <c r="B997">
        <v>50</v>
      </c>
      <c r="C997" t="s">
        <v>4</v>
      </c>
      <c r="D997" t="s">
        <v>11</v>
      </c>
      <c r="E997" t="s">
        <v>14</v>
      </c>
      <c r="F997">
        <v>37397</v>
      </c>
      <c r="G997">
        <v>12</v>
      </c>
      <c r="H997">
        <v>4</v>
      </c>
      <c r="I997" t="s">
        <v>15</v>
      </c>
      <c r="J997" t="str">
        <f t="shared" si="15"/>
        <v>Senior</v>
      </c>
    </row>
    <row r="998" spans="1:10" ht="15.75" customHeight="1" x14ac:dyDescent="0.25">
      <c r="A998">
        <v>1997</v>
      </c>
      <c r="B998">
        <v>41</v>
      </c>
      <c r="C998" t="s">
        <v>4</v>
      </c>
      <c r="D998" t="s">
        <v>5</v>
      </c>
      <c r="E998" t="s">
        <v>26</v>
      </c>
      <c r="F998">
        <v>113911</v>
      </c>
      <c r="G998">
        <v>6</v>
      </c>
      <c r="H998">
        <v>4</v>
      </c>
      <c r="I998" t="s">
        <v>7</v>
      </c>
      <c r="J998" t="str">
        <f t="shared" si="15"/>
        <v>Mid-Level</v>
      </c>
    </row>
    <row r="999" spans="1:10" ht="15.75" customHeight="1" x14ac:dyDescent="0.25">
      <c r="A999">
        <v>1998</v>
      </c>
      <c r="B999">
        <v>28</v>
      </c>
      <c r="C999" t="s">
        <v>4</v>
      </c>
      <c r="D999" t="s">
        <v>21</v>
      </c>
      <c r="E999" t="s">
        <v>22</v>
      </c>
      <c r="F999">
        <v>101271</v>
      </c>
      <c r="G999">
        <v>16</v>
      </c>
      <c r="H999">
        <v>2</v>
      </c>
      <c r="I999" t="s">
        <v>15</v>
      </c>
      <c r="J999" t="str">
        <f t="shared" si="15"/>
        <v>Senior</v>
      </c>
    </row>
    <row r="1000" spans="1:10" ht="15.75" customHeight="1" x14ac:dyDescent="0.25">
      <c r="A1000">
        <v>1999</v>
      </c>
      <c r="B1000">
        <v>40</v>
      </c>
      <c r="C1000" t="s">
        <v>4</v>
      </c>
      <c r="D1000" t="s">
        <v>18</v>
      </c>
      <c r="E1000" t="s">
        <v>19</v>
      </c>
      <c r="F1000">
        <v>77235</v>
      </c>
      <c r="G1000">
        <v>7</v>
      </c>
      <c r="H1000">
        <v>1</v>
      </c>
      <c r="I1000" t="s">
        <v>7</v>
      </c>
      <c r="J1000" t="str">
        <f t="shared" si="15"/>
        <v>Senior</v>
      </c>
    </row>
    <row r="1001" spans="1:10" ht="15.75" customHeight="1" x14ac:dyDescent="0.25">
      <c r="A1001">
        <v>2000</v>
      </c>
      <c r="B1001">
        <v>58</v>
      </c>
      <c r="C1001" t="s">
        <v>4</v>
      </c>
      <c r="D1001" t="s">
        <v>16</v>
      </c>
      <c r="E1001" t="s">
        <v>25</v>
      </c>
      <c r="F1001">
        <v>25029</v>
      </c>
      <c r="G1001">
        <v>4</v>
      </c>
      <c r="H1001">
        <v>2</v>
      </c>
      <c r="I1001" t="s">
        <v>7</v>
      </c>
      <c r="J1001" t="str">
        <f t="shared" si="15"/>
        <v>Mid-Level</v>
      </c>
    </row>
  </sheetData>
  <pageMargins left="0.75" right="0.75" top="1" bottom="1"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59A98F-DB89-4A7D-AAD8-F8CECD82550D}">
  <dimension ref="A1:B9"/>
  <sheetViews>
    <sheetView workbookViewId="0">
      <selection activeCell="C8" sqref="C8"/>
    </sheetView>
  </sheetViews>
  <sheetFormatPr defaultRowHeight="15" x14ac:dyDescent="0.25"/>
  <cols>
    <col min="1" max="2" width="17.7109375" customWidth="1"/>
  </cols>
  <sheetData>
    <row r="1" spans="1:2" x14ac:dyDescent="0.25">
      <c r="A1" s="2" t="s">
        <v>32</v>
      </c>
      <c r="B1" s="2" t="s">
        <v>33</v>
      </c>
    </row>
    <row r="3" spans="1:2" x14ac:dyDescent="0.25">
      <c r="A3" s="1" t="s">
        <v>34</v>
      </c>
      <c r="B3">
        <f>COUNTA(HR_Data!A:A)-1</f>
        <v>1000</v>
      </c>
    </row>
    <row r="4" spans="1:2" x14ac:dyDescent="0.25">
      <c r="A4" s="1" t="s">
        <v>35</v>
      </c>
      <c r="B4">
        <f>COUNTIF(HR_Data!I:I,"No")</f>
        <v>811</v>
      </c>
    </row>
    <row r="5" spans="1:2" x14ac:dyDescent="0.25">
      <c r="A5" s="1" t="s">
        <v>36</v>
      </c>
      <c r="B5">
        <f>COUNTIF(HR_Data!I:I,"Yes")</f>
        <v>189</v>
      </c>
    </row>
    <row r="6" spans="1:2" x14ac:dyDescent="0.25">
      <c r="A6" s="1" t="s">
        <v>37</v>
      </c>
      <c r="B6" s="3">
        <f>COUNTIF(HR_Data!I:I,"Yes")/(COUNTA(HR_Data!A:A)-1)</f>
        <v>0.189</v>
      </c>
    </row>
    <row r="7" spans="1:2" x14ac:dyDescent="0.25">
      <c r="A7" s="1" t="s">
        <v>38</v>
      </c>
      <c r="B7" s="10">
        <f>AVERAGE(HR_Data!F:F)</f>
        <v>70959.331999999995</v>
      </c>
    </row>
    <row r="8" spans="1:2" x14ac:dyDescent="0.25">
      <c r="A8" s="1" t="s">
        <v>39</v>
      </c>
      <c r="B8">
        <f>AVERAGE(HR_Data!G:G)</f>
        <v>10.06</v>
      </c>
    </row>
    <row r="9" spans="1:2" x14ac:dyDescent="0.25">
      <c r="A9" s="1" t="s">
        <v>40</v>
      </c>
      <c r="B9">
        <f>AVERAGE(HR_Data!H:H)</f>
        <v>3.0329999999999999</v>
      </c>
    </row>
  </sheetData>
  <pageMargins left="0.7" right="0.7" top="0.75" bottom="0.75" header="0.3" footer="0.3"/>
  <ignoredErrors>
    <ignoredError sqref="B3 B5:B6" emptyCellReferenc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EDB9A5-0478-4FF8-8A0A-231152E79E53}">
  <dimension ref="A1:V40"/>
  <sheetViews>
    <sheetView tabSelected="1" zoomScale="65" zoomScaleNormal="65" workbookViewId="0">
      <selection activeCell="W24" sqref="W24"/>
    </sheetView>
  </sheetViews>
  <sheetFormatPr defaultRowHeight="15" x14ac:dyDescent="0.25"/>
  <cols>
    <col min="1" max="1" width="3.140625" customWidth="1"/>
    <col min="2" max="2" width="2.7109375" customWidth="1"/>
  </cols>
  <sheetData>
    <row r="1" spans="1:22" x14ac:dyDescent="0.25">
      <c r="A1" s="9"/>
      <c r="B1" s="9"/>
      <c r="C1" s="9"/>
      <c r="D1" s="9"/>
      <c r="E1" s="9"/>
      <c r="F1" s="9"/>
      <c r="G1" s="9"/>
      <c r="H1" s="9"/>
      <c r="I1" s="9"/>
      <c r="J1" s="9"/>
      <c r="K1" s="9"/>
      <c r="L1" s="9"/>
      <c r="M1" s="9"/>
      <c r="N1" s="9"/>
      <c r="O1" s="9"/>
      <c r="P1" s="9"/>
      <c r="Q1" s="9"/>
      <c r="R1" s="9"/>
      <c r="S1" s="9"/>
      <c r="T1" s="9"/>
      <c r="U1" s="9"/>
      <c r="V1" s="9"/>
    </row>
    <row r="2" spans="1:22" ht="96.75" customHeight="1" x14ac:dyDescent="0.25">
      <c r="A2" s="9"/>
      <c r="B2" s="9"/>
      <c r="C2" s="9"/>
      <c r="D2" s="9"/>
      <c r="E2" s="9"/>
      <c r="F2" s="9"/>
      <c r="G2" s="12"/>
      <c r="H2" s="9"/>
      <c r="I2" s="9"/>
      <c r="J2" s="9"/>
      <c r="K2" s="9"/>
      <c r="L2" s="9"/>
      <c r="M2" s="9"/>
      <c r="N2" s="9"/>
      <c r="O2" s="9"/>
      <c r="P2" s="9"/>
      <c r="Q2" s="9"/>
      <c r="R2" s="9"/>
      <c r="S2" s="9"/>
      <c r="T2" s="9"/>
      <c r="U2" s="9"/>
      <c r="V2" s="9"/>
    </row>
    <row r="3" spans="1:22" x14ac:dyDescent="0.25">
      <c r="A3" s="9"/>
      <c r="B3" s="9"/>
      <c r="C3" s="9"/>
      <c r="D3" s="9"/>
      <c r="E3" s="9"/>
      <c r="F3" s="9"/>
      <c r="G3" s="9"/>
      <c r="H3" s="9"/>
      <c r="I3" s="9"/>
      <c r="J3" s="9"/>
      <c r="K3" s="9"/>
      <c r="L3" s="9"/>
      <c r="M3" s="9"/>
      <c r="N3" s="9"/>
      <c r="O3" s="9"/>
      <c r="P3" s="9"/>
      <c r="Q3" s="9"/>
      <c r="R3" s="9"/>
      <c r="S3" s="9"/>
      <c r="T3" s="9"/>
      <c r="U3" s="9"/>
      <c r="V3" s="9"/>
    </row>
    <row r="4" spans="1:22" x14ac:dyDescent="0.25">
      <c r="A4" s="9"/>
      <c r="B4" s="9"/>
      <c r="C4" s="9"/>
      <c r="D4" s="9"/>
      <c r="E4" s="9"/>
      <c r="F4" s="9"/>
      <c r="G4" s="9"/>
      <c r="H4" s="9"/>
      <c r="I4" s="9"/>
      <c r="J4" s="9"/>
      <c r="K4" s="9"/>
      <c r="L4" s="9"/>
      <c r="M4" s="9"/>
      <c r="N4" s="9"/>
      <c r="O4" s="9"/>
      <c r="P4" s="9"/>
      <c r="Q4" s="9"/>
      <c r="R4" s="9"/>
      <c r="S4" s="9"/>
      <c r="T4" s="9"/>
      <c r="U4" s="9"/>
      <c r="V4" s="9"/>
    </row>
    <row r="5" spans="1:22" x14ac:dyDescent="0.25">
      <c r="A5" s="9"/>
      <c r="B5" s="9"/>
      <c r="C5" s="9"/>
      <c r="D5" s="9"/>
      <c r="E5" s="9"/>
      <c r="F5" s="9"/>
      <c r="G5" s="9"/>
      <c r="H5" s="9"/>
      <c r="I5" s="9"/>
      <c r="J5" s="9"/>
      <c r="K5" s="9"/>
      <c r="L5" s="9"/>
      <c r="M5" s="9"/>
      <c r="N5" s="9"/>
      <c r="O5" s="9"/>
      <c r="P5" s="9"/>
      <c r="Q5" s="9"/>
      <c r="R5" s="9"/>
      <c r="S5" s="9"/>
      <c r="T5" s="9"/>
      <c r="U5" s="9"/>
      <c r="V5" s="9"/>
    </row>
    <row r="6" spans="1:22" x14ac:dyDescent="0.25">
      <c r="A6" s="9"/>
      <c r="B6" s="9"/>
      <c r="C6" s="9"/>
      <c r="D6" s="9"/>
      <c r="E6" s="9"/>
      <c r="F6" s="9"/>
      <c r="G6" s="9"/>
      <c r="H6" s="9"/>
      <c r="I6" s="9"/>
      <c r="J6" s="9"/>
      <c r="K6" s="9"/>
      <c r="L6" s="9"/>
      <c r="M6" s="9"/>
      <c r="N6" s="9"/>
      <c r="O6" s="9"/>
      <c r="P6" s="9"/>
      <c r="Q6" s="9"/>
      <c r="R6" s="9"/>
      <c r="S6" s="9"/>
      <c r="T6" s="9"/>
      <c r="U6" s="9"/>
      <c r="V6" s="9"/>
    </row>
    <row r="7" spans="1:22" x14ac:dyDescent="0.25">
      <c r="A7" s="9"/>
      <c r="B7" s="9"/>
      <c r="C7" s="9"/>
      <c r="D7" s="9"/>
      <c r="E7" s="9"/>
      <c r="F7" s="9"/>
      <c r="G7" s="9"/>
      <c r="H7" s="9"/>
      <c r="I7" s="9"/>
      <c r="J7" s="9"/>
      <c r="K7" s="9"/>
      <c r="L7" s="9"/>
      <c r="M7" s="9"/>
      <c r="N7" s="9"/>
      <c r="O7" s="9"/>
      <c r="P7" s="9"/>
      <c r="Q7" s="9"/>
      <c r="R7" s="9"/>
      <c r="S7" s="9"/>
      <c r="T7" s="9"/>
      <c r="U7" s="9"/>
      <c r="V7" s="9"/>
    </row>
    <row r="8" spans="1:22" x14ac:dyDescent="0.25">
      <c r="A8" s="9"/>
      <c r="B8" s="9"/>
      <c r="C8" s="9"/>
      <c r="D8" s="9"/>
      <c r="E8" s="9"/>
      <c r="F8" s="9"/>
      <c r="G8" s="9"/>
      <c r="H8" s="9"/>
      <c r="I8" s="9"/>
      <c r="J8" s="9"/>
      <c r="K8" s="9"/>
      <c r="L8" s="9"/>
      <c r="M8" s="9"/>
      <c r="N8" s="9"/>
      <c r="O8" s="9"/>
      <c r="P8" s="9"/>
      <c r="Q8" s="9"/>
      <c r="R8" s="9"/>
      <c r="S8" s="9"/>
      <c r="T8" s="9"/>
      <c r="U8" s="9"/>
      <c r="V8" s="9"/>
    </row>
    <row r="9" spans="1:22" x14ac:dyDescent="0.25">
      <c r="A9" s="9"/>
      <c r="B9" s="9"/>
      <c r="C9" s="9"/>
      <c r="D9" s="9"/>
      <c r="E9" s="9"/>
      <c r="F9" s="9"/>
      <c r="G9" s="9"/>
      <c r="H9" s="9"/>
      <c r="I9" s="9"/>
      <c r="J9" s="9"/>
      <c r="K9" s="9"/>
      <c r="L9" s="9"/>
      <c r="M9" s="9"/>
      <c r="N9" s="9"/>
      <c r="O9" s="9"/>
      <c r="P9" s="9"/>
      <c r="Q9" s="9"/>
      <c r="R9" s="9"/>
      <c r="S9" s="9"/>
      <c r="T9" s="9"/>
      <c r="U9" s="9"/>
      <c r="V9" s="9"/>
    </row>
    <row r="10" spans="1:22" x14ac:dyDescent="0.25">
      <c r="A10" s="9"/>
      <c r="B10" s="9"/>
      <c r="C10" s="9"/>
      <c r="D10" s="9"/>
      <c r="E10" s="9"/>
      <c r="F10" s="9"/>
      <c r="G10" s="9"/>
      <c r="H10" s="9"/>
      <c r="I10" s="9"/>
      <c r="J10" s="9"/>
      <c r="K10" s="9"/>
      <c r="L10" s="9"/>
      <c r="M10" s="9"/>
      <c r="N10" s="9"/>
      <c r="O10" s="9"/>
      <c r="P10" s="9"/>
      <c r="Q10" s="9"/>
      <c r="R10" s="9"/>
      <c r="S10" s="9"/>
      <c r="T10" s="9"/>
      <c r="U10" s="9"/>
      <c r="V10" s="9"/>
    </row>
    <row r="11" spans="1:22" x14ac:dyDescent="0.25">
      <c r="A11" s="9"/>
      <c r="B11" s="9"/>
      <c r="C11" s="9"/>
      <c r="D11" s="9"/>
      <c r="E11" s="9"/>
      <c r="F11" s="9"/>
      <c r="G11" s="9"/>
      <c r="H11" s="9"/>
      <c r="I11" s="9"/>
      <c r="J11" s="9"/>
      <c r="K11" s="9"/>
      <c r="L11" s="9"/>
      <c r="M11" s="9"/>
      <c r="N11" s="9"/>
      <c r="O11" s="9"/>
      <c r="P11" s="9"/>
      <c r="Q11" s="9"/>
      <c r="R11" s="9"/>
      <c r="S11" s="9"/>
      <c r="T11" s="9"/>
      <c r="U11" s="9"/>
      <c r="V11" s="9"/>
    </row>
    <row r="12" spans="1:22" x14ac:dyDescent="0.25">
      <c r="A12" s="9"/>
      <c r="B12" s="9"/>
      <c r="C12" s="9"/>
      <c r="D12" s="9"/>
      <c r="E12" s="9"/>
      <c r="F12" s="9"/>
      <c r="G12" s="9"/>
      <c r="H12" s="9"/>
      <c r="I12" s="9"/>
      <c r="J12" s="9"/>
      <c r="K12" s="9"/>
      <c r="L12" s="9"/>
      <c r="M12" s="9"/>
      <c r="N12" s="9"/>
      <c r="O12" s="9"/>
      <c r="P12" s="9"/>
      <c r="Q12" s="9"/>
      <c r="R12" s="9"/>
      <c r="S12" s="9"/>
      <c r="T12" s="9"/>
      <c r="U12" s="9"/>
      <c r="V12" s="9"/>
    </row>
    <row r="13" spans="1:22" x14ac:dyDescent="0.25">
      <c r="A13" s="9"/>
      <c r="B13" s="9"/>
      <c r="C13" s="9"/>
      <c r="D13" s="9"/>
      <c r="E13" s="9"/>
      <c r="F13" s="9"/>
      <c r="G13" s="9"/>
      <c r="H13" s="9"/>
      <c r="I13" s="9"/>
      <c r="J13" s="9"/>
      <c r="K13" s="9"/>
      <c r="L13" s="9"/>
      <c r="M13" s="9"/>
      <c r="N13" s="9"/>
      <c r="O13" s="9"/>
      <c r="P13" s="9"/>
      <c r="Q13" s="9"/>
      <c r="R13" s="9"/>
      <c r="S13" s="9"/>
      <c r="T13" s="9"/>
      <c r="U13" s="9"/>
      <c r="V13" s="9"/>
    </row>
    <row r="14" spans="1:22" x14ac:dyDescent="0.25">
      <c r="A14" s="9"/>
      <c r="B14" s="9"/>
      <c r="C14" s="9"/>
      <c r="D14" s="9"/>
      <c r="E14" s="9"/>
      <c r="F14" s="9"/>
      <c r="G14" s="9"/>
      <c r="H14" s="9"/>
      <c r="I14" s="9"/>
      <c r="J14" s="9"/>
      <c r="K14" s="9"/>
      <c r="L14" s="9"/>
      <c r="M14" s="9"/>
      <c r="N14" s="9"/>
      <c r="O14" s="9"/>
      <c r="P14" s="9"/>
      <c r="Q14" s="9"/>
      <c r="R14" s="9"/>
      <c r="S14" s="9"/>
      <c r="T14" s="9"/>
      <c r="U14" s="9"/>
      <c r="V14" s="9"/>
    </row>
    <row r="15" spans="1:22" x14ac:dyDescent="0.25">
      <c r="A15" s="9"/>
      <c r="B15" s="9"/>
      <c r="C15" s="9"/>
      <c r="D15" s="9"/>
      <c r="E15" s="9"/>
      <c r="F15" s="9"/>
      <c r="G15" s="9"/>
      <c r="H15" s="9"/>
      <c r="I15" s="9"/>
      <c r="J15" s="9"/>
      <c r="K15" s="9"/>
      <c r="L15" s="9"/>
      <c r="M15" s="9"/>
      <c r="N15" s="9"/>
      <c r="O15" s="9"/>
      <c r="P15" s="9"/>
      <c r="Q15" s="9"/>
      <c r="R15" s="9"/>
      <c r="S15" s="9"/>
      <c r="T15" s="9"/>
      <c r="U15" s="9"/>
      <c r="V15" s="9"/>
    </row>
    <row r="16" spans="1:22" x14ac:dyDescent="0.25">
      <c r="A16" s="9"/>
      <c r="B16" s="9"/>
      <c r="C16" s="9"/>
      <c r="D16" s="9"/>
      <c r="E16" s="9"/>
      <c r="F16" s="9"/>
      <c r="G16" s="9"/>
      <c r="H16" s="9"/>
      <c r="I16" s="9"/>
      <c r="J16" s="9"/>
      <c r="K16" s="9"/>
      <c r="L16" s="9"/>
      <c r="M16" s="9"/>
      <c r="N16" s="9"/>
      <c r="O16" s="9"/>
      <c r="P16" s="9"/>
      <c r="Q16" s="9"/>
      <c r="R16" s="9"/>
      <c r="S16" s="9"/>
      <c r="T16" s="9"/>
      <c r="U16" s="9"/>
      <c r="V16" s="9"/>
    </row>
    <row r="17" spans="1:22" x14ac:dyDescent="0.25">
      <c r="A17" s="9"/>
      <c r="B17" s="9"/>
      <c r="C17" s="9"/>
      <c r="D17" s="9"/>
      <c r="E17" s="9"/>
      <c r="F17" s="9"/>
      <c r="G17" s="9"/>
      <c r="H17" s="9"/>
      <c r="I17" s="9"/>
      <c r="J17" s="9"/>
      <c r="K17" s="9"/>
      <c r="L17" s="9"/>
      <c r="M17" s="9"/>
      <c r="N17" s="9"/>
      <c r="O17" s="9"/>
      <c r="P17" s="9"/>
      <c r="Q17" s="9"/>
      <c r="R17" s="9"/>
      <c r="S17" s="9"/>
      <c r="T17" s="9"/>
      <c r="U17" s="9"/>
      <c r="V17" s="9"/>
    </row>
    <row r="18" spans="1:22" x14ac:dyDescent="0.25">
      <c r="A18" s="9"/>
      <c r="B18" s="9"/>
      <c r="C18" s="9"/>
      <c r="D18" s="9"/>
      <c r="E18" s="9"/>
      <c r="F18" s="9"/>
      <c r="G18" s="9"/>
      <c r="H18" s="9"/>
      <c r="I18" s="9"/>
      <c r="J18" s="9"/>
      <c r="K18" s="9"/>
      <c r="L18" s="9"/>
      <c r="M18" s="9"/>
      <c r="N18" s="9"/>
      <c r="O18" s="9"/>
      <c r="P18" s="9"/>
      <c r="Q18" s="9"/>
      <c r="R18" s="9"/>
      <c r="S18" s="9"/>
      <c r="T18" s="9"/>
      <c r="U18" s="9"/>
      <c r="V18" s="9"/>
    </row>
    <row r="19" spans="1:22" x14ac:dyDescent="0.25">
      <c r="A19" s="9"/>
      <c r="B19" s="9"/>
      <c r="C19" s="9"/>
      <c r="D19" s="9"/>
      <c r="E19" s="9"/>
      <c r="F19" s="9"/>
      <c r="G19" s="9"/>
      <c r="H19" s="9"/>
      <c r="I19" s="9"/>
      <c r="J19" s="9"/>
      <c r="K19" s="9"/>
      <c r="L19" s="9"/>
      <c r="M19" s="9"/>
      <c r="N19" s="9"/>
      <c r="O19" s="9"/>
      <c r="P19" s="9"/>
      <c r="Q19" s="9"/>
      <c r="R19" s="9"/>
      <c r="S19" s="9"/>
      <c r="T19" s="9"/>
      <c r="U19" s="9"/>
      <c r="V19" s="9"/>
    </row>
    <row r="20" spans="1:22" x14ac:dyDescent="0.25">
      <c r="A20" s="9"/>
      <c r="B20" s="9"/>
      <c r="C20" s="9"/>
      <c r="D20" s="9"/>
      <c r="E20" s="9"/>
      <c r="F20" s="9"/>
      <c r="G20" s="9"/>
      <c r="H20" s="9"/>
      <c r="I20" s="9"/>
      <c r="J20" s="9"/>
      <c r="K20" s="9"/>
      <c r="L20" s="9"/>
      <c r="M20" s="9"/>
      <c r="N20" s="9"/>
      <c r="O20" s="9"/>
      <c r="P20" s="9"/>
      <c r="Q20" s="9"/>
      <c r="R20" s="9"/>
      <c r="S20" s="9"/>
      <c r="T20" s="9"/>
      <c r="U20" s="9"/>
      <c r="V20" s="9"/>
    </row>
    <row r="21" spans="1:22" x14ac:dyDescent="0.25">
      <c r="A21" s="9"/>
      <c r="B21" s="9"/>
      <c r="C21" s="9"/>
      <c r="D21" s="9"/>
      <c r="E21" s="9"/>
      <c r="F21" s="9"/>
      <c r="G21" s="9"/>
      <c r="H21" s="9"/>
      <c r="I21" s="9"/>
      <c r="J21" s="9"/>
      <c r="K21" s="9"/>
      <c r="L21" s="9"/>
      <c r="M21" s="9"/>
      <c r="N21" s="9"/>
      <c r="O21" s="9"/>
      <c r="P21" s="9"/>
      <c r="Q21" s="9"/>
      <c r="R21" s="9"/>
      <c r="S21" s="9"/>
      <c r="T21" s="9"/>
      <c r="U21" s="9"/>
      <c r="V21" s="9"/>
    </row>
    <row r="22" spans="1:22" x14ac:dyDescent="0.25">
      <c r="A22" s="9"/>
      <c r="B22" s="9"/>
      <c r="C22" s="9"/>
      <c r="D22" s="9"/>
      <c r="E22" s="9"/>
      <c r="F22" s="9"/>
      <c r="G22" s="9"/>
      <c r="H22" s="9"/>
      <c r="I22" s="9"/>
      <c r="J22" s="9"/>
      <c r="K22" s="9"/>
      <c r="L22" s="9"/>
      <c r="M22" s="9"/>
      <c r="N22" s="9"/>
      <c r="O22" s="9"/>
      <c r="P22" s="9"/>
      <c r="Q22" s="9"/>
      <c r="R22" s="9"/>
      <c r="S22" s="9"/>
      <c r="T22" s="9"/>
      <c r="U22" s="9"/>
      <c r="V22" s="9"/>
    </row>
    <row r="23" spans="1:22" x14ac:dyDescent="0.25">
      <c r="A23" s="9"/>
      <c r="B23" s="9"/>
      <c r="C23" s="9"/>
      <c r="D23" s="9"/>
      <c r="E23" s="9"/>
      <c r="F23" s="9"/>
      <c r="G23" s="9"/>
      <c r="H23" s="9"/>
      <c r="I23" s="9"/>
      <c r="J23" s="9"/>
      <c r="K23" s="9"/>
      <c r="L23" s="9"/>
      <c r="M23" s="9"/>
      <c r="N23" s="9"/>
      <c r="O23" s="9"/>
      <c r="P23" s="9"/>
      <c r="Q23" s="9"/>
      <c r="R23" s="9"/>
      <c r="S23" s="9"/>
      <c r="T23" s="9"/>
      <c r="U23" s="9"/>
      <c r="V23" s="9"/>
    </row>
    <row r="24" spans="1:22" x14ac:dyDescent="0.25">
      <c r="A24" s="9"/>
      <c r="B24" s="9"/>
      <c r="C24" s="9"/>
      <c r="D24" s="9"/>
      <c r="E24" s="9"/>
      <c r="F24" s="9"/>
      <c r="G24" s="9"/>
      <c r="H24" s="9"/>
      <c r="I24" s="9"/>
      <c r="J24" s="9"/>
      <c r="K24" s="9"/>
      <c r="L24" s="9"/>
      <c r="M24" s="9"/>
      <c r="N24" s="9"/>
      <c r="O24" s="9"/>
      <c r="P24" s="9"/>
      <c r="Q24" s="9"/>
      <c r="R24" s="9"/>
      <c r="S24" s="9"/>
      <c r="T24" s="9"/>
      <c r="U24" s="9"/>
      <c r="V24" s="9"/>
    </row>
    <row r="25" spans="1:22" x14ac:dyDescent="0.25">
      <c r="A25" s="9"/>
      <c r="B25" s="9"/>
      <c r="C25" s="9"/>
      <c r="D25" s="9"/>
      <c r="E25" s="9"/>
      <c r="F25" s="9"/>
      <c r="G25" s="9"/>
      <c r="H25" s="9"/>
      <c r="I25" s="9"/>
      <c r="J25" s="9"/>
      <c r="K25" s="9"/>
      <c r="L25" s="9"/>
      <c r="M25" s="9"/>
      <c r="N25" s="9"/>
      <c r="O25" s="9"/>
      <c r="P25" s="9"/>
      <c r="Q25" s="9"/>
      <c r="R25" s="9"/>
      <c r="S25" s="9"/>
      <c r="T25" s="9"/>
      <c r="U25" s="9"/>
      <c r="V25" s="9"/>
    </row>
    <row r="26" spans="1:22" x14ac:dyDescent="0.25">
      <c r="A26" s="9"/>
      <c r="B26" s="9"/>
      <c r="C26" s="9"/>
      <c r="D26" s="9"/>
      <c r="E26" s="9"/>
      <c r="F26" s="9"/>
      <c r="G26" s="9"/>
      <c r="H26" s="9"/>
      <c r="I26" s="9"/>
      <c r="J26" s="9"/>
      <c r="K26" s="9"/>
      <c r="L26" s="9"/>
      <c r="M26" s="9"/>
      <c r="N26" s="9"/>
      <c r="O26" s="9"/>
      <c r="P26" s="9"/>
      <c r="Q26" s="9"/>
      <c r="R26" s="9"/>
      <c r="S26" s="9"/>
      <c r="T26" s="9"/>
      <c r="U26" s="9"/>
      <c r="V26" s="9"/>
    </row>
    <row r="27" spans="1:22" x14ac:dyDescent="0.25">
      <c r="A27" s="9"/>
      <c r="B27" s="9"/>
      <c r="C27" s="9"/>
      <c r="D27" s="9"/>
      <c r="E27" s="9"/>
      <c r="F27" s="9"/>
      <c r="G27" s="9"/>
      <c r="H27" s="9"/>
      <c r="I27" s="9"/>
      <c r="J27" s="9"/>
      <c r="K27" s="9"/>
      <c r="L27" s="9"/>
      <c r="M27" s="9"/>
      <c r="N27" s="9"/>
      <c r="O27" s="9"/>
      <c r="P27" s="9"/>
      <c r="Q27" s="9"/>
      <c r="R27" s="9"/>
      <c r="S27" s="9"/>
      <c r="T27" s="9"/>
      <c r="U27" s="9"/>
      <c r="V27" s="9"/>
    </row>
    <row r="28" spans="1:22" x14ac:dyDescent="0.25">
      <c r="A28" s="9"/>
      <c r="B28" s="9"/>
      <c r="C28" s="9"/>
      <c r="D28" s="9"/>
      <c r="E28" s="9"/>
      <c r="F28" s="9"/>
      <c r="G28" s="9"/>
      <c r="H28" s="9"/>
      <c r="I28" s="9"/>
      <c r="J28" s="9"/>
      <c r="K28" s="9"/>
      <c r="L28" s="9"/>
      <c r="M28" s="9"/>
      <c r="N28" s="9"/>
      <c r="O28" s="9"/>
      <c r="P28" s="9"/>
      <c r="Q28" s="9"/>
      <c r="R28" s="9"/>
      <c r="S28" s="9"/>
      <c r="T28" s="9"/>
      <c r="U28" s="9"/>
      <c r="V28" s="9"/>
    </row>
    <row r="29" spans="1:22" x14ac:dyDescent="0.25">
      <c r="A29" s="9"/>
      <c r="B29" s="9"/>
      <c r="C29" s="9"/>
      <c r="D29" s="9"/>
      <c r="E29" s="9"/>
      <c r="F29" s="9"/>
      <c r="G29" s="9"/>
      <c r="H29" s="9"/>
      <c r="I29" s="9"/>
      <c r="J29" s="9"/>
      <c r="K29" s="9"/>
      <c r="L29" s="9"/>
      <c r="M29" s="9"/>
      <c r="N29" s="9"/>
      <c r="O29" s="9"/>
      <c r="P29" s="9"/>
      <c r="Q29" s="9"/>
      <c r="R29" s="9"/>
      <c r="S29" s="9"/>
      <c r="T29" s="9"/>
      <c r="U29" s="9"/>
      <c r="V29" s="9"/>
    </row>
    <row r="30" spans="1:22" x14ac:dyDescent="0.25">
      <c r="A30" s="9"/>
      <c r="B30" s="9"/>
      <c r="C30" s="9"/>
      <c r="D30" s="9"/>
      <c r="E30" s="9"/>
      <c r="F30" s="9"/>
      <c r="G30" s="9"/>
      <c r="H30" s="9"/>
      <c r="I30" s="9"/>
      <c r="J30" s="9"/>
      <c r="K30" s="9"/>
      <c r="L30" s="9"/>
      <c r="M30" s="9"/>
      <c r="N30" s="9"/>
      <c r="O30" s="9"/>
      <c r="P30" s="9"/>
      <c r="Q30" s="9"/>
      <c r="R30" s="9"/>
      <c r="S30" s="9"/>
      <c r="T30" s="9"/>
      <c r="U30" s="9"/>
      <c r="V30" s="9"/>
    </row>
    <row r="31" spans="1:22" x14ac:dyDescent="0.25">
      <c r="A31" s="9"/>
      <c r="B31" s="9"/>
      <c r="C31" s="9"/>
      <c r="D31" s="9"/>
      <c r="E31" s="9"/>
      <c r="F31" s="9"/>
      <c r="G31" s="9"/>
      <c r="H31" s="9"/>
      <c r="I31" s="9"/>
      <c r="J31" s="9"/>
      <c r="K31" s="9"/>
      <c r="L31" s="9"/>
      <c r="M31" s="9"/>
      <c r="N31" s="9"/>
      <c r="O31" s="9"/>
      <c r="P31" s="9"/>
      <c r="Q31" s="9"/>
      <c r="R31" s="9"/>
      <c r="S31" s="9"/>
      <c r="T31" s="9"/>
      <c r="U31" s="9"/>
      <c r="V31" s="9"/>
    </row>
    <row r="32" spans="1:22" x14ac:dyDescent="0.25">
      <c r="A32" s="9"/>
      <c r="B32" s="9"/>
      <c r="C32" s="9"/>
      <c r="D32" s="9"/>
      <c r="E32" s="9"/>
      <c r="F32" s="9"/>
      <c r="G32" s="9"/>
      <c r="H32" s="9"/>
      <c r="I32" s="9"/>
      <c r="J32" s="9"/>
      <c r="K32" s="9"/>
      <c r="L32" s="9"/>
      <c r="M32" s="9"/>
      <c r="N32" s="9"/>
      <c r="O32" s="9"/>
      <c r="P32" s="9"/>
      <c r="Q32" s="9"/>
      <c r="R32" s="9"/>
      <c r="S32" s="9"/>
      <c r="T32" s="9"/>
      <c r="U32" s="9"/>
      <c r="V32" s="9"/>
    </row>
    <row r="33" spans="1:22" x14ac:dyDescent="0.25">
      <c r="A33" s="9"/>
      <c r="B33" s="9"/>
      <c r="C33" s="9"/>
      <c r="D33" s="9"/>
      <c r="E33" s="9"/>
      <c r="F33" s="9"/>
      <c r="G33" s="9"/>
      <c r="H33" s="9"/>
      <c r="I33" s="9"/>
      <c r="J33" s="9"/>
      <c r="K33" s="9"/>
      <c r="L33" s="9"/>
      <c r="M33" s="9"/>
      <c r="N33" s="9"/>
      <c r="O33" s="9"/>
      <c r="P33" s="9"/>
      <c r="Q33" s="9"/>
      <c r="R33" s="9"/>
      <c r="S33" s="9"/>
      <c r="T33" s="9"/>
      <c r="U33" s="9"/>
      <c r="V33" s="9"/>
    </row>
    <row r="34" spans="1:22" x14ac:dyDescent="0.25">
      <c r="A34" s="9"/>
      <c r="B34" s="9"/>
      <c r="C34" s="9"/>
      <c r="D34" s="9"/>
      <c r="E34" s="9"/>
      <c r="F34" s="9"/>
      <c r="G34" s="9"/>
      <c r="H34" s="9"/>
      <c r="I34" s="9"/>
      <c r="J34" s="9"/>
      <c r="K34" s="9"/>
      <c r="L34" s="9"/>
      <c r="M34" s="9"/>
      <c r="N34" s="9"/>
      <c r="O34" s="9"/>
      <c r="P34" s="9"/>
      <c r="Q34" s="9"/>
      <c r="R34" s="9"/>
      <c r="S34" s="9"/>
      <c r="T34" s="9"/>
      <c r="U34" s="9"/>
      <c r="V34" s="9"/>
    </row>
    <row r="35" spans="1:22" x14ac:dyDescent="0.25">
      <c r="A35" s="9"/>
      <c r="B35" s="9"/>
      <c r="C35" s="9"/>
      <c r="D35" s="9"/>
      <c r="E35" s="9"/>
      <c r="F35" s="9"/>
      <c r="G35" s="9"/>
      <c r="H35" s="9"/>
      <c r="I35" s="9"/>
      <c r="J35" s="9"/>
      <c r="K35" s="9"/>
      <c r="L35" s="9"/>
      <c r="M35" s="9"/>
      <c r="N35" s="9"/>
      <c r="O35" s="9"/>
      <c r="P35" s="9"/>
      <c r="Q35" s="9"/>
      <c r="R35" s="9"/>
      <c r="S35" s="9"/>
      <c r="T35" s="9"/>
      <c r="U35" s="9"/>
      <c r="V35" s="9"/>
    </row>
    <row r="36" spans="1:22" x14ac:dyDescent="0.25">
      <c r="A36" s="9"/>
      <c r="B36" s="9"/>
      <c r="C36" s="9"/>
      <c r="D36" s="9"/>
      <c r="E36" s="9"/>
      <c r="F36" s="9"/>
      <c r="G36" s="9"/>
      <c r="H36" s="9"/>
      <c r="I36" s="9"/>
      <c r="J36" s="9"/>
      <c r="K36" s="9"/>
      <c r="L36" s="9"/>
      <c r="M36" s="9"/>
      <c r="N36" s="9"/>
      <c r="O36" s="9"/>
      <c r="P36" s="9"/>
      <c r="Q36" s="9"/>
      <c r="R36" s="9"/>
      <c r="S36" s="9"/>
      <c r="T36" s="9"/>
      <c r="U36" s="9"/>
      <c r="V36" s="9"/>
    </row>
    <row r="37" spans="1:22" x14ac:dyDescent="0.25">
      <c r="A37" s="9"/>
      <c r="B37" s="9"/>
      <c r="C37" s="9"/>
      <c r="D37" s="9"/>
      <c r="E37" s="9"/>
      <c r="F37" s="9"/>
      <c r="G37" s="9"/>
      <c r="H37" s="9"/>
      <c r="I37" s="9"/>
      <c r="J37" s="9"/>
      <c r="K37" s="9"/>
      <c r="L37" s="9"/>
      <c r="M37" s="9"/>
      <c r="N37" s="9"/>
      <c r="O37" s="9"/>
      <c r="P37" s="9"/>
      <c r="Q37" s="9"/>
      <c r="R37" s="9"/>
      <c r="S37" s="9"/>
      <c r="T37" s="9"/>
      <c r="U37" s="9"/>
      <c r="V37" s="9"/>
    </row>
    <row r="38" spans="1:22" x14ac:dyDescent="0.25">
      <c r="A38" s="9"/>
      <c r="B38" s="9"/>
      <c r="C38" s="9"/>
      <c r="D38" s="9"/>
      <c r="E38" s="9"/>
      <c r="F38" s="9"/>
      <c r="G38" s="9"/>
      <c r="H38" s="9"/>
      <c r="I38" s="9"/>
      <c r="J38" s="9"/>
      <c r="K38" s="9"/>
      <c r="L38" s="9"/>
      <c r="M38" s="9"/>
      <c r="N38" s="9"/>
      <c r="O38" s="9"/>
      <c r="P38" s="9"/>
      <c r="Q38" s="9"/>
      <c r="R38" s="9"/>
      <c r="S38" s="9"/>
      <c r="T38" s="9"/>
      <c r="U38" s="9"/>
      <c r="V38" s="9"/>
    </row>
    <row r="39" spans="1:22" x14ac:dyDescent="0.25">
      <c r="A39" s="9"/>
      <c r="B39" s="9"/>
      <c r="C39" s="9"/>
      <c r="D39" s="9"/>
      <c r="E39" s="9"/>
      <c r="F39" s="9"/>
      <c r="G39" s="9"/>
      <c r="H39" s="9"/>
      <c r="I39" s="9"/>
      <c r="J39" s="9"/>
      <c r="K39" s="9"/>
      <c r="L39" s="9"/>
      <c r="M39" s="9"/>
      <c r="N39" s="9"/>
      <c r="O39" s="9"/>
      <c r="P39" s="9"/>
      <c r="Q39" s="9"/>
      <c r="R39" s="9"/>
      <c r="S39" s="9"/>
      <c r="T39" s="9"/>
      <c r="U39" s="9"/>
      <c r="V39" s="9"/>
    </row>
    <row r="40" spans="1:22" x14ac:dyDescent="0.25">
      <c r="A40" s="9"/>
      <c r="B40" s="9"/>
      <c r="C40" s="9"/>
      <c r="D40" s="9"/>
      <c r="E40" s="9"/>
      <c r="F40" s="9"/>
      <c r="G40" s="9"/>
      <c r="H40" s="9"/>
      <c r="I40" s="9"/>
      <c r="J40" s="9"/>
      <c r="K40" s="9"/>
      <c r="L40" s="9"/>
      <c r="M40" s="9"/>
      <c r="N40" s="9"/>
      <c r="O40" s="9"/>
      <c r="P40" s="9"/>
      <c r="Q40" s="9"/>
      <c r="R40" s="9"/>
      <c r="S40" s="9"/>
      <c r="T40" s="9"/>
      <c r="U40" s="9"/>
      <c r="V40" s="9"/>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3DFA3C-1F0C-41EB-AC76-D65554ED691C}">
  <dimension ref="A2:E97"/>
  <sheetViews>
    <sheetView topLeftCell="A2" zoomScaleNormal="100" workbookViewId="0">
      <selection activeCell="C19" sqref="C19"/>
    </sheetView>
  </sheetViews>
  <sheetFormatPr defaultRowHeight="15" x14ac:dyDescent="0.25"/>
  <cols>
    <col min="1" max="2" width="13.140625" bestFit="1" customWidth="1"/>
    <col min="3" max="3" width="20.42578125" bestFit="1" customWidth="1"/>
    <col min="4" max="4" width="4.140625" bestFit="1" customWidth="1"/>
    <col min="5" max="5" width="11.28515625" bestFit="1" customWidth="1"/>
    <col min="6" max="6" width="14.7109375" customWidth="1"/>
  </cols>
  <sheetData>
    <row r="2" spans="2:3" x14ac:dyDescent="0.25">
      <c r="B2" s="2" t="s">
        <v>43</v>
      </c>
      <c r="C2" s="2"/>
    </row>
    <row r="4" spans="2:3" x14ac:dyDescent="0.25">
      <c r="B4" s="4" t="s">
        <v>41</v>
      </c>
      <c r="C4" t="s">
        <v>56</v>
      </c>
    </row>
    <row r="5" spans="2:3" x14ac:dyDescent="0.25">
      <c r="B5" s="5" t="s">
        <v>8</v>
      </c>
      <c r="C5" s="11">
        <v>188</v>
      </c>
    </row>
    <row r="6" spans="2:3" x14ac:dyDescent="0.25">
      <c r="B6" s="5" t="s">
        <v>21</v>
      </c>
      <c r="C6" s="11">
        <v>171</v>
      </c>
    </row>
    <row r="7" spans="2:3" x14ac:dyDescent="0.25">
      <c r="B7" s="5" t="s">
        <v>5</v>
      </c>
      <c r="C7" s="11">
        <v>169</v>
      </c>
    </row>
    <row r="8" spans="2:3" x14ac:dyDescent="0.25">
      <c r="B8" s="5" t="s">
        <v>16</v>
      </c>
      <c r="C8" s="11">
        <v>164</v>
      </c>
    </row>
    <row r="9" spans="2:3" x14ac:dyDescent="0.25">
      <c r="B9" s="5" t="s">
        <v>18</v>
      </c>
      <c r="C9" s="11">
        <v>155</v>
      </c>
    </row>
    <row r="10" spans="2:3" x14ac:dyDescent="0.25">
      <c r="B10" s="5" t="s">
        <v>11</v>
      </c>
      <c r="C10" s="11">
        <v>153</v>
      </c>
    </row>
    <row r="11" spans="2:3" x14ac:dyDescent="0.25">
      <c r="B11" s="5" t="s">
        <v>42</v>
      </c>
      <c r="C11" s="11">
        <v>1000</v>
      </c>
    </row>
    <row r="16" spans="2:3" x14ac:dyDescent="0.25">
      <c r="B16" s="2" t="s">
        <v>44</v>
      </c>
    </row>
    <row r="18" spans="2:5" x14ac:dyDescent="0.25">
      <c r="B18" s="4" t="s">
        <v>41</v>
      </c>
      <c r="C18" t="s">
        <v>56</v>
      </c>
    </row>
    <row r="19" spans="2:5" x14ac:dyDescent="0.25">
      <c r="B19" s="5" t="s">
        <v>4</v>
      </c>
      <c r="C19" s="13">
        <v>0.504</v>
      </c>
    </row>
    <row r="20" spans="2:5" x14ac:dyDescent="0.25">
      <c r="B20" s="5" t="s">
        <v>10</v>
      </c>
      <c r="C20" s="13">
        <v>0.496</v>
      </c>
    </row>
    <row r="21" spans="2:5" x14ac:dyDescent="0.25">
      <c r="B21" s="5" t="s">
        <v>42</v>
      </c>
      <c r="C21" s="13">
        <v>1</v>
      </c>
    </row>
    <row r="26" spans="2:5" x14ac:dyDescent="0.25">
      <c r="B26" s="2" t="s">
        <v>45</v>
      </c>
    </row>
    <row r="28" spans="2:5" x14ac:dyDescent="0.25">
      <c r="B28" s="4" t="s">
        <v>56</v>
      </c>
      <c r="C28" s="4" t="s">
        <v>46</v>
      </c>
    </row>
    <row r="29" spans="2:5" x14ac:dyDescent="0.25">
      <c r="B29" s="4" t="s">
        <v>41</v>
      </c>
      <c r="C29" t="s">
        <v>7</v>
      </c>
      <c r="D29" t="s">
        <v>15</v>
      </c>
      <c r="E29" t="s">
        <v>42</v>
      </c>
    </row>
    <row r="30" spans="2:5" x14ac:dyDescent="0.25">
      <c r="B30" s="5" t="s">
        <v>8</v>
      </c>
      <c r="C30" s="11">
        <v>148</v>
      </c>
      <c r="D30" s="11">
        <v>40</v>
      </c>
      <c r="E30" s="11">
        <v>188</v>
      </c>
    </row>
    <row r="31" spans="2:5" x14ac:dyDescent="0.25">
      <c r="B31" s="5" t="s">
        <v>16</v>
      </c>
      <c r="C31" s="11">
        <v>132</v>
      </c>
      <c r="D31" s="11">
        <v>32</v>
      </c>
      <c r="E31" s="11">
        <v>164</v>
      </c>
    </row>
    <row r="32" spans="2:5" x14ac:dyDescent="0.25">
      <c r="B32" s="5" t="s">
        <v>5</v>
      </c>
      <c r="C32" s="11">
        <v>141</v>
      </c>
      <c r="D32" s="11">
        <v>28</v>
      </c>
      <c r="E32" s="11">
        <v>169</v>
      </c>
    </row>
    <row r="33" spans="1:5" x14ac:dyDescent="0.25">
      <c r="B33" s="5" t="s">
        <v>21</v>
      </c>
      <c r="C33" s="11">
        <v>139</v>
      </c>
      <c r="D33" s="11">
        <v>32</v>
      </c>
      <c r="E33" s="11">
        <v>171</v>
      </c>
    </row>
    <row r="34" spans="1:5" x14ac:dyDescent="0.25">
      <c r="B34" s="5" t="s">
        <v>18</v>
      </c>
      <c r="C34" s="11">
        <v>123</v>
      </c>
      <c r="D34" s="11">
        <v>32</v>
      </c>
      <c r="E34" s="11">
        <v>155</v>
      </c>
    </row>
    <row r="35" spans="1:5" x14ac:dyDescent="0.25">
      <c r="B35" s="5" t="s">
        <v>11</v>
      </c>
      <c r="C35" s="11">
        <v>128</v>
      </c>
      <c r="D35" s="11">
        <v>25</v>
      </c>
      <c r="E35" s="11">
        <v>153</v>
      </c>
    </row>
    <row r="36" spans="1:5" x14ac:dyDescent="0.25">
      <c r="B36" s="5" t="s">
        <v>42</v>
      </c>
      <c r="C36" s="11">
        <v>811</v>
      </c>
      <c r="D36" s="11">
        <v>189</v>
      </c>
      <c r="E36" s="11">
        <v>1000</v>
      </c>
    </row>
    <row r="41" spans="1:5" x14ac:dyDescent="0.25">
      <c r="B41" s="2" t="s">
        <v>50</v>
      </c>
      <c r="C41" s="2"/>
    </row>
    <row r="42" spans="1:5" x14ac:dyDescent="0.25">
      <c r="A42" s="1" t="s">
        <v>49</v>
      </c>
      <c r="B42" s="6"/>
    </row>
    <row r="44" spans="1:5" x14ac:dyDescent="0.25">
      <c r="B44" s="4" t="s">
        <v>41</v>
      </c>
      <c r="C44" t="s">
        <v>47</v>
      </c>
    </row>
    <row r="45" spans="1:5" x14ac:dyDescent="0.25">
      <c r="B45" s="5" t="s">
        <v>8</v>
      </c>
      <c r="C45" s="8">
        <v>71362.601063829788</v>
      </c>
    </row>
    <row r="46" spans="1:5" x14ac:dyDescent="0.25">
      <c r="B46" s="5" t="s">
        <v>16</v>
      </c>
      <c r="C46" s="8">
        <v>69598.585365853665</v>
      </c>
    </row>
    <row r="47" spans="1:5" x14ac:dyDescent="0.25">
      <c r="B47" s="5" t="s">
        <v>5</v>
      </c>
      <c r="C47" s="8">
        <v>72111.804733727811</v>
      </c>
    </row>
    <row r="48" spans="1:5" x14ac:dyDescent="0.25">
      <c r="B48" s="5" t="s">
        <v>21</v>
      </c>
      <c r="C48" s="8">
        <v>71612.549707602346</v>
      </c>
    </row>
    <row r="49" spans="2:3" x14ac:dyDescent="0.25">
      <c r="B49" s="5" t="s">
        <v>18</v>
      </c>
      <c r="C49" s="8">
        <v>69317.993548387094</v>
      </c>
    </row>
    <row r="50" spans="2:3" x14ac:dyDescent="0.25">
      <c r="B50" s="5" t="s">
        <v>11</v>
      </c>
      <c r="C50" s="8">
        <v>71582.124183006541</v>
      </c>
    </row>
    <row r="51" spans="2:3" x14ac:dyDescent="0.25">
      <c r="B51" s="5" t="s">
        <v>42</v>
      </c>
      <c r="C51" s="8">
        <v>70959.331999999995</v>
      </c>
    </row>
    <row r="57" spans="2:3" x14ac:dyDescent="0.25">
      <c r="B57" s="2" t="s">
        <v>51</v>
      </c>
      <c r="C57" s="2"/>
    </row>
    <row r="59" spans="2:3" x14ac:dyDescent="0.25">
      <c r="B59" s="4" t="s">
        <v>41</v>
      </c>
      <c r="C59" t="s">
        <v>48</v>
      </c>
    </row>
    <row r="60" spans="2:3" x14ac:dyDescent="0.25">
      <c r="B60" s="5" t="s">
        <v>8</v>
      </c>
      <c r="C60" s="7">
        <v>2.978723404255319</v>
      </c>
    </row>
    <row r="61" spans="2:3" x14ac:dyDescent="0.25">
      <c r="B61" s="5" t="s">
        <v>16</v>
      </c>
      <c r="C61" s="7">
        <v>3.1585365853658538</v>
      </c>
    </row>
    <row r="62" spans="2:3" x14ac:dyDescent="0.25">
      <c r="B62" s="5" t="s">
        <v>5</v>
      </c>
      <c r="C62" s="7">
        <v>3.0414201183431953</v>
      </c>
    </row>
    <row r="63" spans="2:3" x14ac:dyDescent="0.25">
      <c r="B63" s="5" t="s">
        <v>21</v>
      </c>
      <c r="C63" s="7">
        <v>3</v>
      </c>
    </row>
    <row r="64" spans="2:3" x14ac:dyDescent="0.25">
      <c r="B64" s="5" t="s">
        <v>18</v>
      </c>
      <c r="C64" s="7">
        <v>3.1032258064516127</v>
      </c>
    </row>
    <row r="65" spans="2:3" x14ac:dyDescent="0.25">
      <c r="B65" s="5" t="s">
        <v>11</v>
      </c>
      <c r="C65" s="7">
        <v>2.9215686274509802</v>
      </c>
    </row>
    <row r="66" spans="2:3" x14ac:dyDescent="0.25">
      <c r="B66" s="5" t="s">
        <v>42</v>
      </c>
      <c r="C66" s="7">
        <v>3.0329999999999999</v>
      </c>
    </row>
    <row r="93" spans="2:3" x14ac:dyDescent="0.25">
      <c r="B93" s="4" t="s">
        <v>41</v>
      </c>
      <c r="C93" t="s">
        <v>56</v>
      </c>
    </row>
    <row r="94" spans="2:3" x14ac:dyDescent="0.25">
      <c r="B94" s="5" t="s">
        <v>53</v>
      </c>
      <c r="C94" s="11">
        <v>148</v>
      </c>
    </row>
    <row r="95" spans="2:3" x14ac:dyDescent="0.25">
      <c r="B95" s="5" t="s">
        <v>54</v>
      </c>
      <c r="C95" s="11">
        <v>174</v>
      </c>
    </row>
    <row r="96" spans="2:3" x14ac:dyDescent="0.25">
      <c r="B96" s="5" t="s">
        <v>55</v>
      </c>
      <c r="C96" s="11">
        <v>678</v>
      </c>
    </row>
    <row r="97" spans="2:3" x14ac:dyDescent="0.25">
      <c r="B97" s="5" t="s">
        <v>42</v>
      </c>
      <c r="C97" s="11">
        <v>1000</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HR_Data</vt:lpstr>
      <vt:lpstr>KPI</vt:lpstr>
      <vt:lpstr>HR Analytics Dashboard</vt:lpstr>
      <vt:lpstr>Pivots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gowtham varri</cp:lastModifiedBy>
  <dcterms:created xsi:type="dcterms:W3CDTF">2026-06-17T14:09:35Z</dcterms:created>
  <dcterms:modified xsi:type="dcterms:W3CDTF">2026-06-19T06:37:12Z</dcterms:modified>
</cp:coreProperties>
</file>